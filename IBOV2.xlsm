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reya\Desktop\"/>
    </mc:Choice>
  </mc:AlternateContent>
  <bookViews>
    <workbookView xWindow="360" yWindow="120" windowWidth="14355" windowHeight="3855"/>
  </bookViews>
  <sheets>
    <sheet name="Plan2" sheetId="2" r:id="rId1"/>
  </sheets>
  <functionGroups builtInGroupCount="18"/>
  <externalReferences>
    <externalReference r:id="rId2"/>
    <externalReference r:id="rId3"/>
  </externalReferences>
  <calcPr calcId="152511"/>
</workbook>
</file>

<file path=xl/calcChain.xml><?xml version="1.0" encoding="utf-8"?>
<calcChain xmlns="http://schemas.openxmlformats.org/spreadsheetml/2006/main">
  <c r="C72" i="2" l="1"/>
  <c r="C2" i="2"/>
  <c r="C3" i="2"/>
  <c r="C4" i="2"/>
  <c r="C5" i="2"/>
  <c r="O3" i="2"/>
  <c r="O7" i="2"/>
  <c r="O11" i="2"/>
  <c r="O15" i="2"/>
  <c r="O19" i="2"/>
  <c r="O23" i="2"/>
  <c r="O27" i="2"/>
  <c r="O31" i="2"/>
  <c r="O35" i="2"/>
  <c r="O39" i="2"/>
  <c r="O43" i="2"/>
  <c r="O47" i="2"/>
  <c r="O51" i="2"/>
  <c r="O55" i="2"/>
  <c r="O59" i="2"/>
  <c r="O63" i="2"/>
  <c r="O67" i="2"/>
  <c r="O71" i="2"/>
  <c r="O4" i="2"/>
  <c r="O8" i="2"/>
  <c r="O12" i="2"/>
  <c r="O16" i="2"/>
  <c r="O20" i="2"/>
  <c r="O24" i="2"/>
  <c r="O28" i="2"/>
  <c r="O32" i="2"/>
  <c r="O36" i="2"/>
  <c r="O40" i="2"/>
  <c r="O44" i="2"/>
  <c r="O48" i="2"/>
  <c r="O52" i="2"/>
  <c r="O56" i="2"/>
  <c r="O60" i="2"/>
  <c r="O64" i="2"/>
  <c r="O68" i="2"/>
  <c r="O72" i="2"/>
  <c r="O5" i="2"/>
  <c r="O9" i="2"/>
  <c r="O13" i="2"/>
  <c r="O17" i="2"/>
  <c r="O21" i="2"/>
  <c r="O25" i="2"/>
  <c r="O29" i="2"/>
  <c r="O33" i="2"/>
  <c r="O37" i="2"/>
  <c r="O2" i="2"/>
  <c r="O45" i="2"/>
  <c r="O49" i="2"/>
  <c r="O53" i="2"/>
  <c r="O57" i="2"/>
  <c r="O61" i="2"/>
  <c r="O65" i="2"/>
  <c r="O69" i="2"/>
  <c r="O41" i="2"/>
  <c r="O6" i="2"/>
  <c r="O10" i="2"/>
  <c r="O14" i="2"/>
  <c r="O18" i="2"/>
  <c r="O22" i="2"/>
  <c r="O26" i="2"/>
  <c r="O30" i="2"/>
  <c r="O34" i="2"/>
  <c r="O38" i="2"/>
  <c r="O42" i="2"/>
  <c r="O46" i="2"/>
  <c r="O50" i="2"/>
  <c r="O54" i="2"/>
  <c r="O58" i="2"/>
  <c r="O62" i="2"/>
  <c r="O66" i="2"/>
  <c r="O70" i="2"/>
  <c r="M72" i="2" l="1"/>
  <c r="L72" i="2"/>
  <c r="K72" i="2"/>
  <c r="J72" i="2"/>
  <c r="I72" i="2"/>
  <c r="H72" i="2"/>
  <c r="G72" i="2"/>
  <c r="F72" i="2"/>
  <c r="E72" i="2"/>
  <c r="D72" i="2"/>
  <c r="B72" i="2"/>
  <c r="M71" i="2"/>
  <c r="L71" i="2"/>
  <c r="K71" i="2"/>
  <c r="J71" i="2"/>
  <c r="I71" i="2"/>
  <c r="H71" i="2"/>
  <c r="G71" i="2"/>
  <c r="F71" i="2"/>
  <c r="E71" i="2"/>
  <c r="D71" i="2"/>
  <c r="C71" i="2"/>
  <c r="B71" i="2"/>
  <c r="M70" i="2"/>
  <c r="L70" i="2"/>
  <c r="K70" i="2"/>
  <c r="J70" i="2"/>
  <c r="I70" i="2"/>
  <c r="H70" i="2"/>
  <c r="G70" i="2"/>
  <c r="F70" i="2"/>
  <c r="E70" i="2"/>
  <c r="D70" i="2"/>
  <c r="C70" i="2"/>
  <c r="B70" i="2"/>
  <c r="M69" i="2"/>
  <c r="L69" i="2"/>
  <c r="K69" i="2"/>
  <c r="J69" i="2"/>
  <c r="I69" i="2"/>
  <c r="H69" i="2"/>
  <c r="G69" i="2"/>
  <c r="F69" i="2"/>
  <c r="E69" i="2"/>
  <c r="D69" i="2"/>
  <c r="C69" i="2"/>
  <c r="B69" i="2"/>
  <c r="M68" i="2"/>
  <c r="L68" i="2"/>
  <c r="K68" i="2"/>
  <c r="J68" i="2"/>
  <c r="I68" i="2"/>
  <c r="H68" i="2"/>
  <c r="G68" i="2"/>
  <c r="F68" i="2"/>
  <c r="E68" i="2"/>
  <c r="D68" i="2"/>
  <c r="C68" i="2"/>
  <c r="B68" i="2"/>
  <c r="M67" i="2"/>
  <c r="L67" i="2"/>
  <c r="K67" i="2"/>
  <c r="J67" i="2"/>
  <c r="I67" i="2"/>
  <c r="H67" i="2"/>
  <c r="G67" i="2"/>
  <c r="F67" i="2"/>
  <c r="E67" i="2"/>
  <c r="D67" i="2"/>
  <c r="C67" i="2"/>
  <c r="B67" i="2"/>
  <c r="M66" i="2"/>
  <c r="L66" i="2"/>
  <c r="K66" i="2"/>
  <c r="J66" i="2"/>
  <c r="I66" i="2"/>
  <c r="H66" i="2"/>
  <c r="G66" i="2"/>
  <c r="F66" i="2"/>
  <c r="E66" i="2"/>
  <c r="D66" i="2"/>
  <c r="C66" i="2"/>
  <c r="B66" i="2"/>
  <c r="M65" i="2"/>
  <c r="L65" i="2"/>
  <c r="K65" i="2"/>
  <c r="J65" i="2"/>
  <c r="I65" i="2"/>
  <c r="H65" i="2"/>
  <c r="G65" i="2"/>
  <c r="F65" i="2"/>
  <c r="E65" i="2"/>
  <c r="D65" i="2"/>
  <c r="C65" i="2"/>
  <c r="B65" i="2"/>
  <c r="M64" i="2"/>
  <c r="L64" i="2"/>
  <c r="K64" i="2"/>
  <c r="J64" i="2"/>
  <c r="I64" i="2"/>
  <c r="H64" i="2"/>
  <c r="G64" i="2"/>
  <c r="F64" i="2"/>
  <c r="E64" i="2"/>
  <c r="D64" i="2"/>
  <c r="C64" i="2"/>
  <c r="B64" i="2"/>
  <c r="M63" i="2"/>
  <c r="L63" i="2"/>
  <c r="K63" i="2"/>
  <c r="J63" i="2"/>
  <c r="I63" i="2"/>
  <c r="H63" i="2"/>
  <c r="G63" i="2"/>
  <c r="F63" i="2"/>
  <c r="E63" i="2"/>
  <c r="D63" i="2"/>
  <c r="C63" i="2"/>
  <c r="B63" i="2"/>
  <c r="M62" i="2"/>
  <c r="L62" i="2"/>
  <c r="K62" i="2"/>
  <c r="J62" i="2"/>
  <c r="I62" i="2"/>
  <c r="H62" i="2"/>
  <c r="G62" i="2"/>
  <c r="F62" i="2"/>
  <c r="E62" i="2"/>
  <c r="D62" i="2"/>
  <c r="C62" i="2"/>
  <c r="B62" i="2"/>
  <c r="M61" i="2"/>
  <c r="L61" i="2"/>
  <c r="K61" i="2"/>
  <c r="J61" i="2"/>
  <c r="I61" i="2"/>
  <c r="H61" i="2"/>
  <c r="G61" i="2"/>
  <c r="F61" i="2"/>
  <c r="E61" i="2"/>
  <c r="D61" i="2"/>
  <c r="C61" i="2"/>
  <c r="B61" i="2"/>
  <c r="M60" i="2"/>
  <c r="L60" i="2"/>
  <c r="K60" i="2"/>
  <c r="J60" i="2"/>
  <c r="I60" i="2"/>
  <c r="H60" i="2"/>
  <c r="G60" i="2"/>
  <c r="F60" i="2"/>
  <c r="E60" i="2"/>
  <c r="D60" i="2"/>
  <c r="C60" i="2"/>
  <c r="B60" i="2"/>
  <c r="M59" i="2"/>
  <c r="L59" i="2"/>
  <c r="K59" i="2"/>
  <c r="J59" i="2"/>
  <c r="I59" i="2"/>
  <c r="H59" i="2"/>
  <c r="G59" i="2"/>
  <c r="F59" i="2"/>
  <c r="E59" i="2"/>
  <c r="D59" i="2"/>
  <c r="C59" i="2"/>
  <c r="B59" i="2"/>
  <c r="M58" i="2"/>
  <c r="L58" i="2"/>
  <c r="K58" i="2"/>
  <c r="J58" i="2"/>
  <c r="I58" i="2"/>
  <c r="H58" i="2"/>
  <c r="G58" i="2"/>
  <c r="F58" i="2"/>
  <c r="E58" i="2"/>
  <c r="D58" i="2"/>
  <c r="C58" i="2"/>
  <c r="B58" i="2"/>
  <c r="M57" i="2"/>
  <c r="L57" i="2"/>
  <c r="K57" i="2"/>
  <c r="J57" i="2"/>
  <c r="I57" i="2"/>
  <c r="H57" i="2"/>
  <c r="G57" i="2"/>
  <c r="F57" i="2"/>
  <c r="E57" i="2"/>
  <c r="D57" i="2"/>
  <c r="C57" i="2"/>
  <c r="B57" i="2"/>
  <c r="M56" i="2"/>
  <c r="L56" i="2"/>
  <c r="K56" i="2"/>
  <c r="J56" i="2"/>
  <c r="I56" i="2"/>
  <c r="H56" i="2"/>
  <c r="G56" i="2"/>
  <c r="F56" i="2"/>
  <c r="E56" i="2"/>
  <c r="D56" i="2"/>
  <c r="C56" i="2"/>
  <c r="B56" i="2"/>
  <c r="M55" i="2"/>
  <c r="L55" i="2"/>
  <c r="K55" i="2"/>
  <c r="J55" i="2"/>
  <c r="I55" i="2"/>
  <c r="H55" i="2"/>
  <c r="G55" i="2"/>
  <c r="F55" i="2"/>
  <c r="E55" i="2"/>
  <c r="D55" i="2"/>
  <c r="C55" i="2"/>
  <c r="B55" i="2"/>
  <c r="M54" i="2"/>
  <c r="L54" i="2"/>
  <c r="K54" i="2"/>
  <c r="J54" i="2"/>
  <c r="I54" i="2"/>
  <c r="H54" i="2"/>
  <c r="G54" i="2"/>
  <c r="F54" i="2"/>
  <c r="E54" i="2"/>
  <c r="D54" i="2"/>
  <c r="C54" i="2"/>
  <c r="B54" i="2"/>
  <c r="M53" i="2"/>
  <c r="L53" i="2"/>
  <c r="K53" i="2"/>
  <c r="J53" i="2"/>
  <c r="I53" i="2"/>
  <c r="H53" i="2"/>
  <c r="G53" i="2"/>
  <c r="F53" i="2"/>
  <c r="E53" i="2"/>
  <c r="D53" i="2"/>
  <c r="C53" i="2"/>
  <c r="B53" i="2"/>
  <c r="M52" i="2"/>
  <c r="L52" i="2"/>
  <c r="K52" i="2"/>
  <c r="J52" i="2"/>
  <c r="I52" i="2"/>
  <c r="H52" i="2"/>
  <c r="G52" i="2"/>
  <c r="F52" i="2"/>
  <c r="E52" i="2"/>
  <c r="D52" i="2"/>
  <c r="C52" i="2"/>
  <c r="B52" i="2"/>
  <c r="M51" i="2"/>
  <c r="L51" i="2"/>
  <c r="K51" i="2"/>
  <c r="J51" i="2"/>
  <c r="I51" i="2"/>
  <c r="H51" i="2"/>
  <c r="G51" i="2"/>
  <c r="F51" i="2"/>
  <c r="E51" i="2"/>
  <c r="D51" i="2"/>
  <c r="C51" i="2"/>
  <c r="B51" i="2"/>
  <c r="M50" i="2"/>
  <c r="L50" i="2"/>
  <c r="K50" i="2"/>
  <c r="J50" i="2"/>
  <c r="I50" i="2"/>
  <c r="H50" i="2"/>
  <c r="G50" i="2"/>
  <c r="F50" i="2"/>
  <c r="E50" i="2"/>
  <c r="D50" i="2"/>
  <c r="C50" i="2"/>
  <c r="B50" i="2"/>
  <c r="M49" i="2"/>
  <c r="L49" i="2"/>
  <c r="K49" i="2"/>
  <c r="J49" i="2"/>
  <c r="I49" i="2"/>
  <c r="H49" i="2"/>
  <c r="G49" i="2"/>
  <c r="F49" i="2"/>
  <c r="E49" i="2"/>
  <c r="D49" i="2"/>
  <c r="C49" i="2"/>
  <c r="B49" i="2"/>
  <c r="M48" i="2"/>
  <c r="L48" i="2"/>
  <c r="K48" i="2"/>
  <c r="J48" i="2"/>
  <c r="I48" i="2"/>
  <c r="H48" i="2"/>
  <c r="G48" i="2"/>
  <c r="F48" i="2"/>
  <c r="E48" i="2"/>
  <c r="D48" i="2"/>
  <c r="C48" i="2"/>
  <c r="B48" i="2"/>
  <c r="M47" i="2"/>
  <c r="L47" i="2"/>
  <c r="K47" i="2"/>
  <c r="J47" i="2"/>
  <c r="I47" i="2"/>
  <c r="H47" i="2"/>
  <c r="G47" i="2"/>
  <c r="F47" i="2"/>
  <c r="E47" i="2"/>
  <c r="D47" i="2"/>
  <c r="C47" i="2"/>
  <c r="B47" i="2"/>
  <c r="M46" i="2"/>
  <c r="L46" i="2"/>
  <c r="K46" i="2"/>
  <c r="J46" i="2"/>
  <c r="I46" i="2"/>
  <c r="H46" i="2"/>
  <c r="G46" i="2"/>
  <c r="F46" i="2"/>
  <c r="E46" i="2"/>
  <c r="D46" i="2"/>
  <c r="C46" i="2"/>
  <c r="B46" i="2"/>
  <c r="M45" i="2"/>
  <c r="L45" i="2"/>
  <c r="K45" i="2"/>
  <c r="J45" i="2"/>
  <c r="I45" i="2"/>
  <c r="H45" i="2"/>
  <c r="G45" i="2"/>
  <c r="F45" i="2"/>
  <c r="E45" i="2"/>
  <c r="D45" i="2"/>
  <c r="C45" i="2"/>
  <c r="B45" i="2"/>
  <c r="M44" i="2"/>
  <c r="L44" i="2"/>
  <c r="K44" i="2"/>
  <c r="J44" i="2"/>
  <c r="I44" i="2"/>
  <c r="H44" i="2"/>
  <c r="G44" i="2"/>
  <c r="F44" i="2"/>
  <c r="E44" i="2"/>
  <c r="D44" i="2"/>
  <c r="C44" i="2"/>
  <c r="B44" i="2"/>
  <c r="M43" i="2"/>
  <c r="L43" i="2"/>
  <c r="K43" i="2"/>
  <c r="J43" i="2"/>
  <c r="I43" i="2"/>
  <c r="H43" i="2"/>
  <c r="G43" i="2"/>
  <c r="F43" i="2"/>
  <c r="E43" i="2"/>
  <c r="D43" i="2"/>
  <c r="C43" i="2"/>
  <c r="B43" i="2"/>
  <c r="M42" i="2"/>
  <c r="L42" i="2"/>
  <c r="K42" i="2"/>
  <c r="J42" i="2"/>
  <c r="I42" i="2"/>
  <c r="H42" i="2"/>
  <c r="G42" i="2"/>
  <c r="F42" i="2"/>
  <c r="E42" i="2"/>
  <c r="D42" i="2"/>
  <c r="C42" i="2"/>
  <c r="B42" i="2"/>
  <c r="M41" i="2"/>
  <c r="L41" i="2"/>
  <c r="K41" i="2"/>
  <c r="J41" i="2"/>
  <c r="I41" i="2"/>
  <c r="H41" i="2"/>
  <c r="G41" i="2"/>
  <c r="F41" i="2"/>
  <c r="E41" i="2"/>
  <c r="D41" i="2"/>
  <c r="C41" i="2"/>
  <c r="B41" i="2"/>
  <c r="M40" i="2"/>
  <c r="L40" i="2"/>
  <c r="K40" i="2"/>
  <c r="J40" i="2"/>
  <c r="I40" i="2"/>
  <c r="H40" i="2"/>
  <c r="G40" i="2"/>
  <c r="F40" i="2"/>
  <c r="E40" i="2"/>
  <c r="D40" i="2"/>
  <c r="C40" i="2"/>
  <c r="B40" i="2"/>
  <c r="M39" i="2"/>
  <c r="L39" i="2"/>
  <c r="K39" i="2"/>
  <c r="J39" i="2"/>
  <c r="I39" i="2"/>
  <c r="H39" i="2"/>
  <c r="G39" i="2"/>
  <c r="F39" i="2"/>
  <c r="E39" i="2"/>
  <c r="D39" i="2"/>
  <c r="C39" i="2"/>
  <c r="B39" i="2"/>
  <c r="M38" i="2"/>
  <c r="L38" i="2"/>
  <c r="K38" i="2"/>
  <c r="J38" i="2"/>
  <c r="I38" i="2"/>
  <c r="H38" i="2"/>
  <c r="G38" i="2"/>
  <c r="F38" i="2"/>
  <c r="E38" i="2"/>
  <c r="D38" i="2"/>
  <c r="C38" i="2"/>
  <c r="B38" i="2"/>
  <c r="M37" i="2"/>
  <c r="L37" i="2"/>
  <c r="K37" i="2"/>
  <c r="J37" i="2"/>
  <c r="I37" i="2"/>
  <c r="H37" i="2"/>
  <c r="G37" i="2"/>
  <c r="F37" i="2"/>
  <c r="E37" i="2"/>
  <c r="D37" i="2"/>
  <c r="C37" i="2"/>
  <c r="B37" i="2"/>
  <c r="M36" i="2"/>
  <c r="L36" i="2"/>
  <c r="K36" i="2"/>
  <c r="J36" i="2"/>
  <c r="I36" i="2"/>
  <c r="H36" i="2"/>
  <c r="G36" i="2"/>
  <c r="F36" i="2"/>
  <c r="E36" i="2"/>
  <c r="D36" i="2"/>
  <c r="C36" i="2"/>
  <c r="B36" i="2"/>
  <c r="M35" i="2"/>
  <c r="L35" i="2"/>
  <c r="K35" i="2"/>
  <c r="J35" i="2"/>
  <c r="I35" i="2"/>
  <c r="H35" i="2"/>
  <c r="G35" i="2"/>
  <c r="F35" i="2"/>
  <c r="E35" i="2"/>
  <c r="D35" i="2"/>
  <c r="C35" i="2"/>
  <c r="B35" i="2"/>
  <c r="M34" i="2"/>
  <c r="L34" i="2"/>
  <c r="K34" i="2"/>
  <c r="J34" i="2"/>
  <c r="I34" i="2"/>
  <c r="H34" i="2"/>
  <c r="G34" i="2"/>
  <c r="F34" i="2"/>
  <c r="E34" i="2"/>
  <c r="D34" i="2"/>
  <c r="C34" i="2"/>
  <c r="B34" i="2"/>
  <c r="M33" i="2"/>
  <c r="L33" i="2"/>
  <c r="K33" i="2"/>
  <c r="J33" i="2"/>
  <c r="I33" i="2"/>
  <c r="H33" i="2"/>
  <c r="G33" i="2"/>
  <c r="F33" i="2"/>
  <c r="E33" i="2"/>
  <c r="D33" i="2"/>
  <c r="C33" i="2"/>
  <c r="B33" i="2"/>
  <c r="M32" i="2"/>
  <c r="L32" i="2"/>
  <c r="K32" i="2"/>
  <c r="J32" i="2"/>
  <c r="I32" i="2"/>
  <c r="H32" i="2"/>
  <c r="G32" i="2"/>
  <c r="F32" i="2"/>
  <c r="E32" i="2"/>
  <c r="D32" i="2"/>
  <c r="C32" i="2"/>
  <c r="B32" i="2"/>
  <c r="M31" i="2"/>
  <c r="L31" i="2"/>
  <c r="K31" i="2"/>
  <c r="J31" i="2"/>
  <c r="I31" i="2"/>
  <c r="H31" i="2"/>
  <c r="G31" i="2"/>
  <c r="F31" i="2"/>
  <c r="E31" i="2"/>
  <c r="D31" i="2"/>
  <c r="C31" i="2"/>
  <c r="B31" i="2"/>
  <c r="M30" i="2"/>
  <c r="L30" i="2"/>
  <c r="K30" i="2"/>
  <c r="J30" i="2"/>
  <c r="I30" i="2"/>
  <c r="H30" i="2"/>
  <c r="G30" i="2"/>
  <c r="F30" i="2"/>
  <c r="E30" i="2"/>
  <c r="D30" i="2"/>
  <c r="C30" i="2"/>
  <c r="B30" i="2"/>
  <c r="M29" i="2"/>
  <c r="L29" i="2"/>
  <c r="K29" i="2"/>
  <c r="J29" i="2"/>
  <c r="I29" i="2"/>
  <c r="H29" i="2"/>
  <c r="G29" i="2"/>
  <c r="F29" i="2"/>
  <c r="E29" i="2"/>
  <c r="D29" i="2"/>
  <c r="C29" i="2"/>
  <c r="B29" i="2"/>
  <c r="M28" i="2"/>
  <c r="L28" i="2"/>
  <c r="K28" i="2"/>
  <c r="J28" i="2"/>
  <c r="I28" i="2"/>
  <c r="H28" i="2"/>
  <c r="G28" i="2"/>
  <c r="F28" i="2"/>
  <c r="E28" i="2"/>
  <c r="D28" i="2"/>
  <c r="C28" i="2"/>
  <c r="B28" i="2"/>
  <c r="M27" i="2"/>
  <c r="L27" i="2"/>
  <c r="K27" i="2"/>
  <c r="J27" i="2"/>
  <c r="I27" i="2"/>
  <c r="H27" i="2"/>
  <c r="G27" i="2"/>
  <c r="F27" i="2"/>
  <c r="E27" i="2"/>
  <c r="D27" i="2"/>
  <c r="C27" i="2"/>
  <c r="B27" i="2"/>
  <c r="M26" i="2"/>
  <c r="L26" i="2"/>
  <c r="K26" i="2"/>
  <c r="J26" i="2"/>
  <c r="I26" i="2"/>
  <c r="H26" i="2"/>
  <c r="G26" i="2"/>
  <c r="F26" i="2"/>
  <c r="E26" i="2"/>
  <c r="D26" i="2"/>
  <c r="C26" i="2"/>
  <c r="B26" i="2"/>
  <c r="M25" i="2"/>
  <c r="L25" i="2"/>
  <c r="K25" i="2"/>
  <c r="J25" i="2"/>
  <c r="I25" i="2"/>
  <c r="H25" i="2"/>
  <c r="G25" i="2"/>
  <c r="F25" i="2"/>
  <c r="E25" i="2"/>
  <c r="D25" i="2"/>
  <c r="C25" i="2"/>
  <c r="B25" i="2"/>
  <c r="M24" i="2"/>
  <c r="L24" i="2"/>
  <c r="K24" i="2"/>
  <c r="J24" i="2"/>
  <c r="I24" i="2"/>
  <c r="H24" i="2"/>
  <c r="G24" i="2"/>
  <c r="F24" i="2"/>
  <c r="E24" i="2"/>
  <c r="D24" i="2"/>
  <c r="C24" i="2"/>
  <c r="B24" i="2"/>
  <c r="M23" i="2"/>
  <c r="L23" i="2"/>
  <c r="K23" i="2"/>
  <c r="J23" i="2"/>
  <c r="I23" i="2"/>
  <c r="H23" i="2"/>
  <c r="G23" i="2"/>
  <c r="F23" i="2"/>
  <c r="E23" i="2"/>
  <c r="D23" i="2"/>
  <c r="C23" i="2"/>
  <c r="B23" i="2"/>
  <c r="M22" i="2"/>
  <c r="L22" i="2"/>
  <c r="K22" i="2"/>
  <c r="J22" i="2"/>
  <c r="I22" i="2"/>
  <c r="H22" i="2"/>
  <c r="G22" i="2"/>
  <c r="F22" i="2"/>
  <c r="E22" i="2"/>
  <c r="D22" i="2"/>
  <c r="C22" i="2"/>
  <c r="B22" i="2"/>
  <c r="M21" i="2"/>
  <c r="L21" i="2"/>
  <c r="K21" i="2"/>
  <c r="J21" i="2"/>
  <c r="I21" i="2"/>
  <c r="H21" i="2"/>
  <c r="G21" i="2"/>
  <c r="F21" i="2"/>
  <c r="E21" i="2"/>
  <c r="D21" i="2"/>
  <c r="C21" i="2"/>
  <c r="B21" i="2"/>
  <c r="M20" i="2"/>
  <c r="L20" i="2"/>
  <c r="K20" i="2"/>
  <c r="J20" i="2"/>
  <c r="I20" i="2"/>
  <c r="H20" i="2"/>
  <c r="G20" i="2"/>
  <c r="F20" i="2"/>
  <c r="E20" i="2"/>
  <c r="D20" i="2"/>
  <c r="C20" i="2"/>
  <c r="B20" i="2"/>
  <c r="M19" i="2"/>
  <c r="L19" i="2"/>
  <c r="K19" i="2"/>
  <c r="J19" i="2"/>
  <c r="I19" i="2"/>
  <c r="H19" i="2"/>
  <c r="G19" i="2"/>
  <c r="F19" i="2"/>
  <c r="E19" i="2"/>
  <c r="D19" i="2"/>
  <c r="C19" i="2"/>
  <c r="B19" i="2"/>
  <c r="M18" i="2"/>
  <c r="L18" i="2"/>
  <c r="K18" i="2"/>
  <c r="J18" i="2"/>
  <c r="I18" i="2"/>
  <c r="H18" i="2"/>
  <c r="G18" i="2"/>
  <c r="F18" i="2"/>
  <c r="E18" i="2"/>
  <c r="D18" i="2"/>
  <c r="C18" i="2"/>
  <c r="B18" i="2"/>
  <c r="M17" i="2"/>
  <c r="L17" i="2"/>
  <c r="K17" i="2"/>
  <c r="J17" i="2"/>
  <c r="I17" i="2"/>
  <c r="H17" i="2"/>
  <c r="G17" i="2"/>
  <c r="F17" i="2"/>
  <c r="E17" i="2"/>
  <c r="D17" i="2"/>
  <c r="C17" i="2"/>
  <c r="B17" i="2"/>
  <c r="M16" i="2"/>
  <c r="L16" i="2"/>
  <c r="K16" i="2"/>
  <c r="J16" i="2"/>
  <c r="I16" i="2"/>
  <c r="H16" i="2"/>
  <c r="G16" i="2"/>
  <c r="F16" i="2"/>
  <c r="E16" i="2"/>
  <c r="D16" i="2"/>
  <c r="C16" i="2"/>
  <c r="B16" i="2"/>
  <c r="M15" i="2"/>
  <c r="L15" i="2"/>
  <c r="K15" i="2"/>
  <c r="J15" i="2"/>
  <c r="I15" i="2"/>
  <c r="H15" i="2"/>
  <c r="G15" i="2"/>
  <c r="F15" i="2"/>
  <c r="E15" i="2"/>
  <c r="D15" i="2"/>
  <c r="C15" i="2"/>
  <c r="B15" i="2"/>
  <c r="M14" i="2"/>
  <c r="L14" i="2"/>
  <c r="K14" i="2"/>
  <c r="J14" i="2"/>
  <c r="I14" i="2"/>
  <c r="H14" i="2"/>
  <c r="G14" i="2"/>
  <c r="F14" i="2"/>
  <c r="E14" i="2"/>
  <c r="D14" i="2"/>
  <c r="C14" i="2"/>
  <c r="B14" i="2"/>
  <c r="M13" i="2"/>
  <c r="L13" i="2"/>
  <c r="K13" i="2"/>
  <c r="J13" i="2"/>
  <c r="I13" i="2"/>
  <c r="H13" i="2"/>
  <c r="G13" i="2"/>
  <c r="F13" i="2"/>
  <c r="E13" i="2"/>
  <c r="D13" i="2"/>
  <c r="C13" i="2"/>
  <c r="B13" i="2"/>
  <c r="M12" i="2"/>
  <c r="L12" i="2"/>
  <c r="K12" i="2"/>
  <c r="J12" i="2"/>
  <c r="I12" i="2"/>
  <c r="H12" i="2"/>
  <c r="G12" i="2"/>
  <c r="F12" i="2"/>
  <c r="E12" i="2"/>
  <c r="D12" i="2"/>
  <c r="C12" i="2"/>
  <c r="B12" i="2"/>
  <c r="M11" i="2"/>
  <c r="L11" i="2"/>
  <c r="K11" i="2"/>
  <c r="J11" i="2"/>
  <c r="I11" i="2"/>
  <c r="H11" i="2"/>
  <c r="G11" i="2"/>
  <c r="F11" i="2"/>
  <c r="E11" i="2"/>
  <c r="D11" i="2"/>
  <c r="C11" i="2"/>
  <c r="B11" i="2"/>
  <c r="M10" i="2"/>
  <c r="L10" i="2"/>
  <c r="K10" i="2"/>
  <c r="J10" i="2"/>
  <c r="I10" i="2"/>
  <c r="H10" i="2"/>
  <c r="G10" i="2"/>
  <c r="F10" i="2"/>
  <c r="E10" i="2"/>
  <c r="D10" i="2"/>
  <c r="C10" i="2"/>
  <c r="B10" i="2"/>
  <c r="M9" i="2"/>
  <c r="L9" i="2"/>
  <c r="K9" i="2"/>
  <c r="J9" i="2"/>
  <c r="I9" i="2"/>
  <c r="H9" i="2"/>
  <c r="G9" i="2"/>
  <c r="F9" i="2"/>
  <c r="E9" i="2"/>
  <c r="D9" i="2"/>
  <c r="C9" i="2"/>
  <c r="B9" i="2"/>
  <c r="M8" i="2"/>
  <c r="L8" i="2"/>
  <c r="K8" i="2"/>
  <c r="J8" i="2"/>
  <c r="I8" i="2"/>
  <c r="H8" i="2"/>
  <c r="G8" i="2"/>
  <c r="F8" i="2"/>
  <c r="E8" i="2"/>
  <c r="D8" i="2"/>
  <c r="C8" i="2"/>
  <c r="B8" i="2"/>
  <c r="M7" i="2"/>
  <c r="L7" i="2"/>
  <c r="K7" i="2"/>
  <c r="J7" i="2"/>
  <c r="I7" i="2"/>
  <c r="H7" i="2"/>
  <c r="G7" i="2"/>
  <c r="F7" i="2"/>
  <c r="E7" i="2"/>
  <c r="D7" i="2"/>
  <c r="C7" i="2"/>
  <c r="B7" i="2"/>
  <c r="M6" i="2"/>
  <c r="L6" i="2"/>
  <c r="K6" i="2"/>
  <c r="J6" i="2"/>
  <c r="I6" i="2"/>
  <c r="H6" i="2"/>
  <c r="G6" i="2"/>
  <c r="F6" i="2"/>
  <c r="E6" i="2"/>
  <c r="D6" i="2"/>
  <c r="C6" i="2"/>
  <c r="B6" i="2"/>
  <c r="M5" i="2"/>
  <c r="L5" i="2"/>
  <c r="K5" i="2"/>
  <c r="J5" i="2"/>
  <c r="I5" i="2"/>
  <c r="H5" i="2"/>
  <c r="G5" i="2"/>
  <c r="F5" i="2"/>
  <c r="E5" i="2"/>
  <c r="D5" i="2"/>
  <c r="B5" i="2"/>
  <c r="L4" i="2"/>
  <c r="K4" i="2"/>
  <c r="J4" i="2"/>
  <c r="I4" i="2"/>
  <c r="H4" i="2"/>
  <c r="G4" i="2"/>
  <c r="F4" i="2"/>
  <c r="E4" i="2"/>
  <c r="D4" i="2"/>
  <c r="B4" i="2"/>
  <c r="M3" i="2"/>
  <c r="L3" i="2"/>
  <c r="K3" i="2"/>
  <c r="J3" i="2"/>
  <c r="I3" i="2"/>
  <c r="H3" i="2"/>
  <c r="G3" i="2"/>
  <c r="F3" i="2"/>
  <c r="E3" i="2"/>
  <c r="D3" i="2"/>
  <c r="B3" i="2"/>
  <c r="M2" i="2"/>
  <c r="L2" i="2"/>
  <c r="K2" i="2"/>
  <c r="J2" i="2"/>
  <c r="I2" i="2"/>
  <c r="H2" i="2"/>
  <c r="G2" i="2"/>
  <c r="F2" i="2"/>
  <c r="E2" i="2"/>
  <c r="D2" i="2"/>
  <c r="B2" i="2"/>
</calcChain>
</file>

<file path=xl/sharedStrings.xml><?xml version="1.0" encoding="utf-8"?>
<sst xmlns="http://schemas.openxmlformats.org/spreadsheetml/2006/main" count="85" uniqueCount="85">
  <si>
    <t>ALLL3</t>
  </si>
  <si>
    <t>BBSE3</t>
  </si>
  <si>
    <t>BVMF3</t>
  </si>
  <si>
    <t>BRML3</t>
  </si>
  <si>
    <t>BRPR3</t>
  </si>
  <si>
    <t>BBDC3</t>
  </si>
  <si>
    <t>BBDC4</t>
  </si>
  <si>
    <t>BRAP4</t>
  </si>
  <si>
    <t>BBAS3</t>
  </si>
  <si>
    <t>BRKM5</t>
  </si>
  <si>
    <t>BRFS3</t>
  </si>
  <si>
    <t>CCRO3</t>
  </si>
  <si>
    <t>CMIG4</t>
  </si>
  <si>
    <t>CESP6</t>
  </si>
  <si>
    <t>CTIP3</t>
  </si>
  <si>
    <t>HGTX3</t>
  </si>
  <si>
    <t>CIEL3</t>
  </si>
  <si>
    <t>CPLE6</t>
  </si>
  <si>
    <t>CSAN3</t>
  </si>
  <si>
    <t>CPFE3</t>
  </si>
  <si>
    <t>CYRE3</t>
  </si>
  <si>
    <t>DTEX3</t>
  </si>
  <si>
    <t>ECOR3</t>
  </si>
  <si>
    <t>ELET3</t>
  </si>
  <si>
    <t>ELET6</t>
  </si>
  <si>
    <t>ELPL4</t>
  </si>
  <si>
    <t>EMBR3</t>
  </si>
  <si>
    <t>ENBR3</t>
  </si>
  <si>
    <t>ESTC3</t>
  </si>
  <si>
    <t>EVEN3</t>
  </si>
  <si>
    <t>FIBR3</t>
  </si>
  <si>
    <t>GFSA3</t>
  </si>
  <si>
    <t>GGBR4</t>
  </si>
  <si>
    <t>GOAU4</t>
  </si>
  <si>
    <t>GOLL4</t>
  </si>
  <si>
    <t>HYPE3</t>
  </si>
  <si>
    <t>ITSA4</t>
  </si>
  <si>
    <t>ITUB4</t>
  </si>
  <si>
    <t>JBSS3</t>
  </si>
  <si>
    <t>KROT3</t>
  </si>
  <si>
    <t>LIGT3</t>
  </si>
  <si>
    <t>RENT3</t>
  </si>
  <si>
    <t>LAME4</t>
  </si>
  <si>
    <t>LREN3</t>
  </si>
  <si>
    <t>MRFG3</t>
  </si>
  <si>
    <t>MRVE3</t>
  </si>
  <si>
    <t>NATU3</t>
  </si>
  <si>
    <t>OIBR4</t>
  </si>
  <si>
    <t>PCAR4</t>
  </si>
  <si>
    <t>PDGR3</t>
  </si>
  <si>
    <t>PETR3</t>
  </si>
  <si>
    <t>PETR4</t>
  </si>
  <si>
    <t>QUAL3</t>
  </si>
  <si>
    <t>RSID3</t>
  </si>
  <si>
    <t>SBSP3</t>
  </si>
  <si>
    <t>SANB11</t>
  </si>
  <si>
    <t>CSNA3</t>
  </si>
  <si>
    <t>CRUZ3</t>
  </si>
  <si>
    <t>SUZB5</t>
  </si>
  <si>
    <t>VIVT4</t>
  </si>
  <si>
    <t>TIMP3</t>
  </si>
  <si>
    <t>TBLE3</t>
  </si>
  <si>
    <t>UGPA3</t>
  </si>
  <si>
    <t>USIM5</t>
  </si>
  <si>
    <t>VALE3</t>
  </si>
  <si>
    <t>VALE5</t>
  </si>
  <si>
    <t>BISA3</t>
  </si>
  <si>
    <t>DASA3</t>
  </si>
  <si>
    <t>KLBN4</t>
  </si>
  <si>
    <t>LLXL3</t>
  </si>
  <si>
    <t>Ativo</t>
  </si>
  <si>
    <t>Nome</t>
  </si>
  <si>
    <t>Ult</t>
  </si>
  <si>
    <t>Var</t>
  </si>
  <si>
    <t>Dif</t>
  </si>
  <si>
    <t>Hora</t>
  </si>
  <si>
    <t>Mín</t>
  </si>
  <si>
    <t>Máx</t>
  </si>
  <si>
    <t>Abe</t>
  </si>
  <si>
    <t>Fec</t>
  </si>
  <si>
    <t>Neg</t>
  </si>
  <si>
    <t>Vtt</t>
  </si>
  <si>
    <t>%Mes</t>
  </si>
  <si>
    <t>IBOV</t>
  </si>
  <si>
    <t>TrackCell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</si>
</sst>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BC" ddeTopic="COT">
    <ddeItems>
      <ddeItem name="ALLL3.ABE" advise="1"/>
      <ddeItem name="ALLL3.FEC" advise="1"/>
      <ddeItem name="ALLL3.HOR" advise="1"/>
      <ddeItem name="ALLL3.MAX" advise="1"/>
      <ddeItem name="ALLL3.MIN" advise="1"/>
      <ddeItem name="ALLL3.NEG" advise="1"/>
      <ddeItem name="ALLL3.NOM" advise="1"/>
      <ddeItem name="ALLL3.OCP" advise="1"/>
      <ddeItem name="ALLL3.OVD" advise="1"/>
      <ddeItem name="ALLL3.QTT" advise="1"/>
      <ddeItem name="ALLL3.ULT" advise="1"/>
      <ddeItem name="ALLL3.VAR" advise="1"/>
      <ddeItem name="BBAS3.ABE" advise="1"/>
      <ddeItem name="BBAS3.HOR" advise="1"/>
      <ddeItem name="BBAS3.MAX" advise="1"/>
      <ddeItem name="BBAS3.MIN" advise="1"/>
      <ddeItem name="BBAS3.NEG" advise="1"/>
      <ddeItem name="BBAS3.NOM" advise="1"/>
      <ddeItem name="BBAS3.OCP" advise="1"/>
      <ddeItem name="BBAS3.OVD" advise="1"/>
      <ddeItem name="BBAS3.QTT" advise="1"/>
      <ddeItem name="BBAS3.ULT" advise="1"/>
      <ddeItem name="BBAS3.VAR" advise="1"/>
      <ddeItem name="BBDC3.ABE" advise="1"/>
      <ddeItem name="BBDC3.FEC" advise="1"/>
      <ddeItem name="BBDC3.HOR" advise="1"/>
      <ddeItem name="BBDC3.MAX" advise="1"/>
      <ddeItem name="BBDC3.MIN" advise="1"/>
      <ddeItem name="BBDC3.NEG" advise="1"/>
      <ddeItem name="BBDC3.NOM" advise="1"/>
      <ddeItem name="BBDC3.OCP" advise="1"/>
      <ddeItem name="BBDC3.OVD" advise="1"/>
      <ddeItem name="BBDC3.QTT" advise="1"/>
      <ddeItem name="BBDC3.ULT" advise="1"/>
      <ddeItem name="BBDC3.VAR" advise="1"/>
      <ddeItem name="BBDC4.ABE" advise="1"/>
      <ddeItem name="BBDC4.FEC" advise="1"/>
      <ddeItem name="BBDC4.HOR" advise="1"/>
      <ddeItem name="BBDC4.MAX" advise="1"/>
      <ddeItem name="BBDC4.MIN" advise="1"/>
      <ddeItem name="BBDC4.NEG" advise="1"/>
      <ddeItem name="BBDC4.NOM" advise="1"/>
      <ddeItem name="BBDC4.OCP" advise="1"/>
      <ddeItem name="BBDC4.OVD" advise="1"/>
      <ddeItem name="BBDC4.QTT" advise="1"/>
      <ddeItem name="BBDC4.ULT" advise="1"/>
      <ddeItem name="BBDC4.VAR" advise="1"/>
      <ddeItem name="BBSE3.ABE" advise="1"/>
      <ddeItem name="BBSE3.FEC" advise="1"/>
      <ddeItem name="BBSE3.HOR" advise="1"/>
      <ddeItem name="BBSE3.MAX" advise="1"/>
      <ddeItem name="BBSE3.MIN" advise="1"/>
      <ddeItem name="BBSE3.NEG" advise="1"/>
      <ddeItem name="BBSE3.NOM" advise="1"/>
      <ddeItem name="BBSE3.OCP" advise="1"/>
      <ddeItem name="BBSE3.OVD" advise="1"/>
      <ddeItem name="BBSE3.QTT" advise="1"/>
      <ddeItem name="BBSE3.ULT" advise="1"/>
      <ddeItem name="BBSE3.VAR" advise="1"/>
      <ddeItem name="BISA3.ABE" advise="1"/>
      <ddeItem name="BISA3.FEC" advise="1"/>
      <ddeItem name="BISA3.HOR" advise="1"/>
      <ddeItem name="BISA3.MAX" advise="1"/>
      <ddeItem name="BISA3.MIN" advise="1"/>
      <ddeItem name="BISA3.NEG" advise="1"/>
      <ddeItem name="BISA3.NOM" advise="1"/>
      <ddeItem name="BISA3.OCP" advise="1"/>
      <ddeItem name="BISA3.OVD" advise="1"/>
      <ddeItem name="BISA3.QTT" advise="1"/>
      <ddeItem name="BISA3.ULT" advise="1"/>
      <ddeItem name="BISA3.VAR" advise="1"/>
      <ddeItem name="BRAP4.ABE" advise="1"/>
      <ddeItem name="BRAP4.FEC" advise="1"/>
      <ddeItem name="BRAP4.HOR" advise="1"/>
      <ddeItem name="BRAP4.MAX" advise="1"/>
      <ddeItem name="BRAP4.MIN" advise="1"/>
      <ddeItem name="BRAP4.NEG" advise="1"/>
      <ddeItem name="BRAP4.NOM" advise="1"/>
      <ddeItem name="BRAP4.OCP" advise="1"/>
      <ddeItem name="BRAP4.OVD" advise="1"/>
      <ddeItem name="BRAP4.QTT" advise="1"/>
      <ddeItem name="BRAP4.ULT" advise="1"/>
      <ddeItem name="BRAP4.VAR" advise="1"/>
      <ddeItem name="BRFS3.ABE" advise="1"/>
      <ddeItem name="BRFS3.FEC" advise="1"/>
      <ddeItem name="BRFS3.HOR" advise="1"/>
      <ddeItem name="BRFS3.MAX" advise="1"/>
      <ddeItem name="BRFS3.MIN" advise="1"/>
      <ddeItem name="BRFS3.NEG" advise="1"/>
      <ddeItem name="BRFS3.NOM" advise="1"/>
      <ddeItem name="BRFS3.OCP" advise="1"/>
      <ddeItem name="BRFS3.OVD" advise="1"/>
      <ddeItem name="BRFS3.QTT" advise="1"/>
      <ddeItem name="BRFS3.ULT" advise="1"/>
      <ddeItem name="BRFS3.VAR" advise="1"/>
      <ddeItem name="BRKM5.ABE" advise="1"/>
      <ddeItem name="BRKM5.FEC" advise="1"/>
      <ddeItem name="BRKM5.HOR" advise="1"/>
      <ddeItem name="BRKM5.MAX" advise="1"/>
      <ddeItem name="BRKM5.MIN" advise="1"/>
      <ddeItem name="BRKM5.NEG" advise="1"/>
      <ddeItem name="BRKM5.NOM" advise="1"/>
      <ddeItem name="BRKM5.OCP" advise="1"/>
      <ddeItem name="BRKM5.OVD" advise="1"/>
      <ddeItem name="BRKM5.QTT" advise="1"/>
      <ddeItem name="BRKM5.ULT" advise="1"/>
      <ddeItem name="BRKM5.VAR" advise="1"/>
      <ddeItem name="BRML3.ABE" advise="1"/>
      <ddeItem name="BRML3.FEC" advise="1"/>
      <ddeItem name="BRML3.HOR" advise="1"/>
      <ddeItem name="BRML3.MAX" advise="1"/>
      <ddeItem name="BRML3.MIN" advise="1"/>
      <ddeItem name="BRML3.NEG" advise="1"/>
      <ddeItem name="BRML3.NOM" advise="1"/>
      <ddeItem name="BRML3.OCP" advise="1"/>
      <ddeItem name="BRML3.OVD" advise="1"/>
      <ddeItem name="BRML3.QTT" advise="1"/>
      <ddeItem name="BRML3.ULT" advise="1"/>
      <ddeItem name="BRML3.VAR" advise="1"/>
      <ddeItem name="BRPR3.ABE" advise="1"/>
      <ddeItem name="BRPR3.FEC" advise="1"/>
      <ddeItem name="BRPR3.HOR" advise="1"/>
      <ddeItem name="BRPR3.MAX" advise="1"/>
      <ddeItem name="BRPR3.MIN" advise="1"/>
      <ddeItem name="BRPR3.NEG" advise="1"/>
      <ddeItem name="BRPR3.NOM" advise="1"/>
      <ddeItem name="BRPR3.OCP" advise="1"/>
      <ddeItem name="BRPR3.OVD" advise="1"/>
      <ddeItem name="BRPR3.QTT" advise="1"/>
      <ddeItem name="BRPR3.ULT" advise="1"/>
      <ddeItem name="BRPR3.VAR" advise="1"/>
      <ddeItem name="BVMF3.ABE" advise="1"/>
      <ddeItem name="BVMF3.FEC" advise="1"/>
      <ddeItem name="BVMF3.HOR" advise="1"/>
      <ddeItem name="BVMF3.MAX" advise="1"/>
      <ddeItem name="BVMF3.MIN" advise="1"/>
      <ddeItem name="BVMF3.NEG" advise="1"/>
      <ddeItem name="BVMF3.NOM" advise="1"/>
      <ddeItem name="BVMF3.OCP" advise="1"/>
      <ddeItem name="BVMF3.OVD" advise="1"/>
      <ddeItem name="BVMF3.QTT" advise="1"/>
      <ddeItem name="BVMF3.ULT" advise="1"/>
      <ddeItem name="BVMF3.VAR" advise="1"/>
      <ddeItem name="CCRO3.ABE" advise="1"/>
      <ddeItem name="CCRO3.FEC" advise="1"/>
      <ddeItem name="CCRO3.HOR" advise="1"/>
      <ddeItem name="CCRO3.MAX" advise="1"/>
      <ddeItem name="CCRO3.MIN" advise="1"/>
      <ddeItem name="CCRO3.NEG" advise="1"/>
      <ddeItem name="CCRO3.NOM" advise="1"/>
      <ddeItem name="CCRO3.OCP" advise="1"/>
      <ddeItem name="CCRO3.OVD" advise="1"/>
      <ddeItem name="CCRO3.QTT" advise="1"/>
      <ddeItem name="CCRO3.ULT" advise="1"/>
      <ddeItem name="CCRO3.VAR" advise="1"/>
      <ddeItem name="CESP6.ABE" advise="1"/>
      <ddeItem name="CESP6.FEC" advise="1"/>
      <ddeItem name="CESP6.HOR" advise="1"/>
      <ddeItem name="CESP6.MAX" advise="1"/>
      <ddeItem name="CESP6.MIN" advise="1"/>
      <ddeItem name="CESP6.NEG" advise="1"/>
      <ddeItem name="CESP6.NOM" advise="1"/>
      <ddeItem name="CESP6.OCP" advise="1"/>
      <ddeItem name="CESP6.OVD" advise="1"/>
      <ddeItem name="CESP6.QTT" advise="1"/>
      <ddeItem name="CESP6.ULT" advise="1"/>
      <ddeItem name="CESP6.VAR" advise="1"/>
      <ddeItem name="CIEL3.ABE" advise="1"/>
      <ddeItem name="CIEL3.FEC" advise="1"/>
      <ddeItem name="CIEL3.HOR" advise="1"/>
      <ddeItem name="CIEL3.MAX" advise="1"/>
      <ddeItem name="CIEL3.MIN" advise="1"/>
      <ddeItem name="CIEL3.NEG" advise="1"/>
      <ddeItem name="CIEL3.NOM" advise="1"/>
      <ddeItem name="CIEL3.OCP" advise="1"/>
      <ddeItem name="CIEL3.OVD" advise="1"/>
      <ddeItem name="CIEL3.QTT" advise="1"/>
      <ddeItem name="CIEL3.ULT" advise="1"/>
      <ddeItem name="CIEL3.VAR" advise="1"/>
      <ddeItem name="CMIG4.ABE" advise="1"/>
      <ddeItem name="CMIG4.FEC" advise="1"/>
      <ddeItem name="CMIG4.HOR" advise="1"/>
      <ddeItem name="CMIG4.MAX" advise="1"/>
      <ddeItem name="CMIG4.MIN" advise="1"/>
      <ddeItem name="CMIG4.NEG" advise="1"/>
      <ddeItem name="CMIG4.NOM" advise="1"/>
      <ddeItem name="CMIG4.OCP" advise="1"/>
      <ddeItem name="CMIG4.OVD" advise="1"/>
      <ddeItem name="CMIG4.QTT" advise="1"/>
      <ddeItem name="CMIG4.ULT" advise="1"/>
      <ddeItem name="CMIG4.VAR" advise="1"/>
      <ddeItem name="CPFE3.ABE" advise="1"/>
      <ddeItem name="CPFE3.FEC" advise="1"/>
      <ddeItem name="CPFE3.HOR" advise="1"/>
      <ddeItem name="CPFE3.MAX" advise="1"/>
      <ddeItem name="CPFE3.MIN" advise="1"/>
      <ddeItem name="CPFE3.NEG" advise="1"/>
      <ddeItem name="CPFE3.NOM" advise="1"/>
      <ddeItem name="CPFE3.OCP" advise="1"/>
      <ddeItem name="CPFE3.OVD" advise="1"/>
      <ddeItem name="CPFE3.QTT" advise="1"/>
      <ddeItem name="CPFE3.ULT" advise="1"/>
      <ddeItem name="CPFE3.VAR" advise="1"/>
      <ddeItem name="CPLE6.ABE" advise="1"/>
      <ddeItem name="CPLE6.FEC" advise="1"/>
      <ddeItem name="CPLE6.HOR" advise="1"/>
      <ddeItem name="CPLE6.MAX" advise="1"/>
      <ddeItem name="CPLE6.MIN" advise="1"/>
      <ddeItem name="CPLE6.NEG" advise="1"/>
      <ddeItem name="CPLE6.NOM" advise="1"/>
      <ddeItem name="CPLE6.OCP" advise="1"/>
      <ddeItem name="CPLE6.OVD" advise="1"/>
      <ddeItem name="CPLE6.QTT" advise="1"/>
      <ddeItem name="CPLE6.ULT" advise="1"/>
      <ddeItem name="CPLE6.VAR" advise="1"/>
      <ddeItem name="CRUZ3.ABE" advise="1"/>
      <ddeItem name="CRUZ3.FEC" advise="1"/>
      <ddeItem name="CRUZ3.HOR" advise="1"/>
      <ddeItem name="CRUZ3.MAX" advise="1"/>
      <ddeItem name="CRUZ3.MIN" advise="1"/>
      <ddeItem name="CRUZ3.NEG" advise="1"/>
      <ddeItem name="CRUZ3.NOM" advise="1"/>
      <ddeItem name="CRUZ3.OCP" advise="1"/>
      <ddeItem name="CRUZ3.OVD" advise="1"/>
      <ddeItem name="CRUZ3.QTT" advise="1"/>
      <ddeItem name="CRUZ3.ULT" advise="1"/>
      <ddeItem name="CRUZ3.VAR" advise="1"/>
      <ddeItem name="CSAN3.ABE" advise="1"/>
      <ddeItem name="CSAN3.FEC" advise="1"/>
      <ddeItem name="CSAN3.HOR" advise="1"/>
      <ddeItem name="CSAN3.MAX" advise="1"/>
      <ddeItem name="CSAN3.MIN" advise="1"/>
      <ddeItem name="CSAN3.NEG" advise="1"/>
      <ddeItem name="CSAN3.NOM" advise="1"/>
      <ddeItem name="CSAN3.OCP" advise="1"/>
      <ddeItem name="CSAN3.OVD" advise="1"/>
      <ddeItem name="CSAN3.QTT" advise="1"/>
      <ddeItem name="CSAN3.ULT" advise="1"/>
      <ddeItem name="CSAN3.VAR" advise="1"/>
      <ddeItem name="CSNA3.ABE" advise="1"/>
      <ddeItem name="CSNA3.FEC" advise="1"/>
      <ddeItem name="CSNA3.HOR" advise="1"/>
      <ddeItem name="CSNA3.MAX" advise="1"/>
      <ddeItem name="CSNA3.MIN" advise="1"/>
      <ddeItem name="CSNA3.NEG" advise="1"/>
      <ddeItem name="CSNA3.NOM" advise="1"/>
      <ddeItem name="CSNA3.OCP" advise="1"/>
      <ddeItem name="CSNA3.OVD" advise="1"/>
      <ddeItem name="CSNA3.QTT" advise="1"/>
      <ddeItem name="CSNA3.ULT" advise="1"/>
      <ddeItem name="CSNA3.VAR" advise="1"/>
      <ddeItem name="CTIP3.ABE" advise="1"/>
      <ddeItem name="CTIP3.FEC" advise="1"/>
      <ddeItem name="CTIP3.HOR" advise="1"/>
      <ddeItem name="CTIP3.MAX" advise="1"/>
      <ddeItem name="CTIP3.MIN" advise="1"/>
      <ddeItem name="CTIP3.NEG" advise="1"/>
      <ddeItem name="CTIP3.NOM" advise="1"/>
      <ddeItem name="CTIP3.OCP" advise="1"/>
      <ddeItem name="CTIP3.OVD" advise="1"/>
      <ddeItem name="CTIP3.QTT" advise="1"/>
      <ddeItem name="CTIP3.ULT" advise="1"/>
      <ddeItem name="CTIP3.VAR" advise="1"/>
      <ddeItem name="CYRE3.ABE" advise="1"/>
      <ddeItem name="CYRE3.FEC" advise="1"/>
      <ddeItem name="CYRE3.HOR" advise="1"/>
      <ddeItem name="CYRE3.MAX" advise="1"/>
      <ddeItem name="CYRE3.MIN" advise="1"/>
      <ddeItem name="CYRE3.NEG" advise="1"/>
      <ddeItem name="CYRE3.NOM" advise="1"/>
      <ddeItem name="CYRE3.OCP" advise="1"/>
      <ddeItem name="CYRE3.OVD" advise="1"/>
      <ddeItem name="CYRE3.QTT" advise="1"/>
      <ddeItem name="CYRE3.ULT" advise="1"/>
      <ddeItem name="CYRE3.VAR" advise="1"/>
      <ddeItem name="DASA3.ABE" advise="1"/>
      <ddeItem name="DASA3.FEC" advise="1"/>
      <ddeItem name="DASA3.HOR" advise="1"/>
      <ddeItem name="DASA3.MAX" advise="1"/>
      <ddeItem name="DASA3.MIN" advise="1"/>
      <ddeItem name="DASA3.NEG" advise="1"/>
      <ddeItem name="DASA3.NOM" advise="1"/>
      <ddeItem name="DASA3.OCP" advise="1"/>
      <ddeItem name="DASA3.OVD" advise="1"/>
      <ddeItem name="DASA3.QTT" advise="1"/>
      <ddeItem name="DASA3.ULT" advise="1"/>
      <ddeItem name="DASA3.VAR" advise="1"/>
      <ddeItem name="DTEX3.ABE" advise="1"/>
      <ddeItem name="DTEX3.FEC" advise="1"/>
      <ddeItem name="DTEX3.HOR" advise="1"/>
      <ddeItem name="DTEX3.MAX" advise="1"/>
      <ddeItem name="DTEX3.MIN" advise="1"/>
      <ddeItem name="DTEX3.NEG" advise="1"/>
      <ddeItem name="DTEX3.NOM" advise="1"/>
      <ddeItem name="DTEX3.OCP" advise="1"/>
      <ddeItem name="DTEX3.OVD" advise="1"/>
      <ddeItem name="DTEX3.QTT" advise="1"/>
      <ddeItem name="DTEX3.ULT" advise="1"/>
      <ddeItem name="DTEX3.VAR" advise="1"/>
      <ddeItem name="ECOR3.ABE" advise="1"/>
      <ddeItem name="ECOR3.FEC" advise="1"/>
      <ddeItem name="ECOR3.HOR" advise="1"/>
      <ddeItem name="ECOR3.MAX" advise="1"/>
      <ddeItem name="ECOR3.MIN" advise="1"/>
      <ddeItem name="ECOR3.NEG" advise="1"/>
      <ddeItem name="ECOR3.NOM" advise="1"/>
      <ddeItem name="ECOR3.OCP" advise="1"/>
      <ddeItem name="ECOR3.OVD" advise="1"/>
      <ddeItem name="ECOR3.QTT" advise="1"/>
      <ddeItem name="ECOR3.ULT" advise="1"/>
      <ddeItem name="ECOR3.VAR" advise="1"/>
      <ddeItem name="ELET3.ABE" advise="1"/>
      <ddeItem name="ELET3.FEC" advise="1"/>
      <ddeItem name="ELET3.HOR" advise="1"/>
      <ddeItem name="ELET3.MAX" advise="1"/>
      <ddeItem name="ELET3.MIN" advise="1"/>
      <ddeItem name="ELET3.NEG" advise="1"/>
      <ddeItem name="ELET3.NOM" advise="1"/>
      <ddeItem name="ELET3.OCP" advise="1"/>
      <ddeItem name="ELET3.OVD" advise="1"/>
      <ddeItem name="ELET3.QTT" advise="1"/>
      <ddeItem name="ELET3.ULT" advise="1"/>
      <ddeItem name="ELET3.VAR" advise="1"/>
      <ddeItem name="ELET6.ABE" advise="1"/>
      <ddeItem name="ELET6.FEC" advise="1"/>
      <ddeItem name="ELET6.HOR" advise="1"/>
      <ddeItem name="ELET6.MAX" advise="1"/>
      <ddeItem name="ELET6.MIN" advise="1"/>
      <ddeItem name="ELET6.NEG" advise="1"/>
      <ddeItem name="ELET6.NOM" advise="1"/>
      <ddeItem name="ELET6.OCP" advise="1"/>
      <ddeItem name="ELET6.OVD" advise="1"/>
      <ddeItem name="ELET6.QTT" advise="1"/>
      <ddeItem name="ELET6.ULT" advise="1"/>
      <ddeItem name="ELET6.VAR" advise="1"/>
      <ddeItem name="ELPL4.ABE" advise="1"/>
      <ddeItem name="ELPL4.FEC" advise="1"/>
      <ddeItem name="ELPL4.HOR" advise="1"/>
      <ddeItem name="ELPL4.MAX" advise="1"/>
      <ddeItem name="ELPL4.MIN" advise="1"/>
      <ddeItem name="ELPL4.NEG" advise="1"/>
      <ddeItem name="ELPL4.NOM" advise="1"/>
      <ddeItem name="ELPL4.OCP" advise="1"/>
      <ddeItem name="ELPL4.OVD" advise="1"/>
      <ddeItem name="ELPL4.QTT" advise="1"/>
      <ddeItem name="ELPL4.ULT" advise="1"/>
      <ddeItem name="ELPL4.VAR" advise="1"/>
      <ddeItem name="EMBR3.ABE" advise="1"/>
      <ddeItem name="EMBR3.FEC" advise="1"/>
      <ddeItem name="EMBR3.HOR" advise="1"/>
      <ddeItem name="EMBR3.MAX" advise="1"/>
      <ddeItem name="EMBR3.MIN" advise="1"/>
      <ddeItem name="EMBR3.NEG" advise="1"/>
      <ddeItem name="EMBR3.NOM" advise="1"/>
      <ddeItem name="EMBR3.OCP" advise="1"/>
      <ddeItem name="EMBR3.OVD" advise="1"/>
      <ddeItem name="EMBR3.QTT" advise="1"/>
      <ddeItem name="EMBR3.ULT" advise="1"/>
      <ddeItem name="EMBR3.VAR" advise="1"/>
      <ddeItem name="ENBR3.ABE" advise="1"/>
      <ddeItem name="ENBR3.FEC" advise="1"/>
      <ddeItem name="ENBR3.HOR" advise="1"/>
      <ddeItem name="ENBR3.MAX" advise="1"/>
      <ddeItem name="ENBR3.MIN" advise="1"/>
      <ddeItem name="ENBR3.NEG" advise="1"/>
      <ddeItem name="ENBR3.NOM" advise="1"/>
      <ddeItem name="ENBR3.OCP" advise="1"/>
      <ddeItem name="ENBR3.OVD" advise="1"/>
      <ddeItem name="ENBR3.QTT" advise="1"/>
      <ddeItem name="ENBR3.ULT" advise="1"/>
      <ddeItem name="ENBR3.VAR" advise="1"/>
      <ddeItem name="ESTC3.ABE" advise="1"/>
      <ddeItem name="ESTC3.FEC" advise="1"/>
      <ddeItem name="ESTC3.HOR" advise="1"/>
      <ddeItem name="ESTC3.MAX" advise="1"/>
      <ddeItem name="ESTC3.MIN" advise="1"/>
      <ddeItem name="ESTC3.NEG" advise="1"/>
      <ddeItem name="ESTC3.NOM" advise="1"/>
      <ddeItem name="ESTC3.OCP" advise="1"/>
      <ddeItem name="ESTC3.OVD" advise="1"/>
      <ddeItem name="ESTC3.QTT" advise="1"/>
      <ddeItem name="ESTC3.ULT" advise="1"/>
      <ddeItem name="ESTC3.VAR" advise="1"/>
      <ddeItem name="EVEN3.ABE" advise="1"/>
      <ddeItem name="EVEN3.FEC" advise="1"/>
      <ddeItem name="EVEN3.HOR" advise="1"/>
      <ddeItem name="EVEN3.MAX" advise="1"/>
      <ddeItem name="EVEN3.MIN" advise="1"/>
      <ddeItem name="EVEN3.NEG" advise="1"/>
      <ddeItem name="EVEN3.NOM" advise="1"/>
      <ddeItem name="EVEN3.OCP" advise="1"/>
      <ddeItem name="EVEN3.OVD" advise="1"/>
      <ddeItem name="EVEN3.QTT" advise="1"/>
      <ddeItem name="EVEN3.ULT" advise="1"/>
      <ddeItem name="EVEN3.VAR" advise="1"/>
      <ddeItem name="FIBR3.ABE" advise="1"/>
      <ddeItem name="FIBR3.FEC" advise="1"/>
      <ddeItem name="FIBR3.HOR" advise="1"/>
      <ddeItem name="FIBR3.MAX" advise="1"/>
      <ddeItem name="FIBR3.MIN" advise="1"/>
      <ddeItem name="FIBR3.NEG" advise="1"/>
      <ddeItem name="FIBR3.NOM" advise="1"/>
      <ddeItem name="FIBR3.OCP" advise="1"/>
      <ddeItem name="FIBR3.OVD" advise="1"/>
      <ddeItem name="FIBR3.QTT" advise="1"/>
      <ddeItem name="FIBR3.ULT" advise="1"/>
      <ddeItem name="FIBR3.VAR" advise="1"/>
      <ddeItem name="GFSA3.ABE" advise="1"/>
      <ddeItem name="GFSA3.FEC" advise="1"/>
      <ddeItem name="GFSA3.HOR" advise="1"/>
      <ddeItem name="GFSA3.MAX" advise="1"/>
      <ddeItem name="GFSA3.MIN" advise="1"/>
      <ddeItem name="GFSA3.NEG" advise="1"/>
      <ddeItem name="GFSA3.NOM" advise="1"/>
      <ddeItem name="GFSA3.OCP" advise="1"/>
      <ddeItem name="GFSA3.OVD" advise="1"/>
      <ddeItem name="GFSA3.QTT" advise="1"/>
      <ddeItem name="GFSA3.ULT" advise="1"/>
      <ddeItem name="GFSA3.VAR" advise="1"/>
      <ddeItem name="GGBR4.ABE" advise="1"/>
      <ddeItem name="GGBR4.FEC" advise="1"/>
      <ddeItem name="GGBR4.HOR" advise="1"/>
      <ddeItem name="GGBR4.MAX" advise="1"/>
      <ddeItem name="GGBR4.MIN" advise="1"/>
      <ddeItem name="GGBR4.NEG" advise="1"/>
      <ddeItem name="GGBR4.NOM" advise="1"/>
      <ddeItem name="GGBR4.OCP" advise="1"/>
      <ddeItem name="GGBR4.OVD" advise="1"/>
      <ddeItem name="GGBR4.QTT" advise="1"/>
      <ddeItem name="GGBR4.ULT" advise="1"/>
      <ddeItem name="GGBR4.VAR" advise="1"/>
      <ddeItem name="GOAU4.ABE" advise="1"/>
      <ddeItem name="GOAU4.FEC" advise="1"/>
      <ddeItem name="GOAU4.HOR" advise="1"/>
      <ddeItem name="GOAU4.MAX" advise="1"/>
      <ddeItem name="GOAU4.MIN" advise="1"/>
      <ddeItem name="GOAU4.NEG" advise="1"/>
      <ddeItem name="GOAU4.NOM" advise="1"/>
      <ddeItem name="GOAU4.OCP" advise="1"/>
      <ddeItem name="GOAU4.OVD" advise="1"/>
      <ddeItem name="GOAU4.QTT" advise="1"/>
      <ddeItem name="GOAU4.ULT" advise="1"/>
      <ddeItem name="GOAU4.VAR" advise="1"/>
      <ddeItem name="GOLL4.ABE" advise="1"/>
      <ddeItem name="GOLL4.FEC" advise="1"/>
      <ddeItem name="GOLL4.HOR" advise="1"/>
      <ddeItem name="GOLL4.MAX" advise="1"/>
      <ddeItem name="GOLL4.MIN" advise="1"/>
      <ddeItem name="GOLL4.NEG" advise="1"/>
      <ddeItem name="GOLL4.NOM" advise="1"/>
      <ddeItem name="GOLL4.OCP" advise="1"/>
      <ddeItem name="GOLL4.OVD" advise="1"/>
      <ddeItem name="GOLL4.QTT" advise="1"/>
      <ddeItem name="GOLL4.ULT" advise="1"/>
      <ddeItem name="GOLL4.VAR" advise="1"/>
      <ddeItem name="HGTX3.ABE" advise="1"/>
      <ddeItem name="HGTX3.FEC" advise="1"/>
      <ddeItem name="HGTX3.HOR" advise="1"/>
      <ddeItem name="HGTX3.MAX" advise="1"/>
      <ddeItem name="HGTX3.MIN" advise="1"/>
      <ddeItem name="HGTX3.NEG" advise="1"/>
      <ddeItem name="HGTX3.NOM" advise="1"/>
      <ddeItem name="HGTX3.OCP" advise="1"/>
      <ddeItem name="HGTX3.OVD" advise="1"/>
      <ddeItem name="HGTX3.QTT" advise="1"/>
      <ddeItem name="HGTX3.ULT" advise="1"/>
      <ddeItem name="HGTX3.VAR" advise="1"/>
      <ddeItem name="HYPE3.ABE" advise="1"/>
      <ddeItem name="HYPE3.FEC" advise="1"/>
      <ddeItem name="HYPE3.HOR" advise="1"/>
      <ddeItem name="HYPE3.MAX" advise="1"/>
      <ddeItem name="HYPE3.MIN" advise="1"/>
      <ddeItem name="HYPE3.NEG" advise="1"/>
      <ddeItem name="HYPE3.NOM" advise="1"/>
      <ddeItem name="HYPE3.OCP" advise="1"/>
      <ddeItem name="HYPE3.OVD" advise="1"/>
      <ddeItem name="HYPE3.QTT" advise="1"/>
      <ddeItem name="HYPE3.ULT" advise="1"/>
      <ddeItem name="HYPE3.VAR" advise="1"/>
      <ddeItem name="IBOV.ABE" advise="1"/>
      <ddeItem name="IBOV.FEC" advise="1"/>
      <ddeItem name="IBOV.HOR" advise="1"/>
      <ddeItem name="IBOV.MAX" advise="1"/>
      <ddeItem name="IBOV.MIN" advise="1"/>
      <ddeItem name="IBOV.NEG" advise="1"/>
      <ddeItem name="IBOV.NOM" advise="1"/>
      <ddeItem name="IBOV.ULT" advise="1"/>
      <ddeItem name="IBOV.VAR" advise="1"/>
      <ddeItem name="ITSA4.ABE" advise="1"/>
      <ddeItem name="ITSA4.FEC" advise="1"/>
      <ddeItem name="ITSA4.HOR" advise="1"/>
      <ddeItem name="ITSA4.MAX" advise="1"/>
      <ddeItem name="ITSA4.MIN" advise="1"/>
      <ddeItem name="ITSA4.NEG" advise="1"/>
      <ddeItem name="ITSA4.NOM" advise="1"/>
      <ddeItem name="ITSA4.OCP" advise="1"/>
      <ddeItem name="ITSA4.OVD" advise="1"/>
      <ddeItem name="ITSA4.QTT" advise="1"/>
      <ddeItem name="ITSA4.ULT" advise="1"/>
      <ddeItem name="ITSA4.VAR" advise="1"/>
      <ddeItem name="ITUB4.ABE" advise="1"/>
      <ddeItem name="ITUB4.FEC" advise="1"/>
      <ddeItem name="ITUB4.HOR" advise="1"/>
      <ddeItem name="ITUB4.MAX" advise="1"/>
      <ddeItem name="ITUB4.MIN" advise="1"/>
      <ddeItem name="ITUB4.NEG" advise="1"/>
      <ddeItem name="ITUB4.NOM" advise="1"/>
      <ddeItem name="ITUB4.OCP" advise="1"/>
      <ddeItem name="ITUB4.OVD" advise="1"/>
      <ddeItem name="ITUB4.QTT" advise="1"/>
      <ddeItem name="ITUB4.ULT" advise="1"/>
      <ddeItem name="ITUB4.VAR" advise="1"/>
      <ddeItem name="JBSS3.ABE" advise="1"/>
      <ddeItem name="JBSS3.FEC" advise="1"/>
      <ddeItem name="JBSS3.HOR" advise="1"/>
      <ddeItem name="JBSS3.MAX" advise="1"/>
      <ddeItem name="JBSS3.MIN" advise="1"/>
      <ddeItem name="JBSS3.NEG" advise="1"/>
      <ddeItem name="JBSS3.NOM" advise="1"/>
      <ddeItem name="JBSS3.OCP" advise="1"/>
      <ddeItem name="JBSS3.OVD" advise="1"/>
      <ddeItem name="JBSS3.QTT" advise="1"/>
      <ddeItem name="JBSS3.ULT" advise="1"/>
      <ddeItem name="JBSS3.VAR" advise="1"/>
      <ddeItem name="KLBN4.ABE" advise="1"/>
      <ddeItem name="KLBN4.FEC" advise="1"/>
      <ddeItem name="KLBN4.HOR" advise="1"/>
      <ddeItem name="KLBN4.MAX" advise="1"/>
      <ddeItem name="KLBN4.MIN" advise="1"/>
      <ddeItem name="KLBN4.NEG" advise="1"/>
      <ddeItem name="KLBN4.NOM" advise="1"/>
      <ddeItem name="KLBN4.OCP" advise="1"/>
      <ddeItem name="KLBN4.OVD" advise="1"/>
      <ddeItem name="KLBN4.QTT" advise="1"/>
      <ddeItem name="KLBN4.ULT" advise="1"/>
      <ddeItem name="KLBN4.VAR" advise="1"/>
      <ddeItem name="KROT3.ABE" advise="1"/>
      <ddeItem name="KROT3.FEC" advise="1"/>
      <ddeItem name="KROT3.HOR" advise="1"/>
      <ddeItem name="KROT3.MAX" advise="1"/>
      <ddeItem name="KROT3.MIN" advise="1"/>
      <ddeItem name="KROT3.NEG" advise="1"/>
      <ddeItem name="KROT3.NOM" advise="1"/>
      <ddeItem name="KROT3.OCP" advise="1"/>
      <ddeItem name="KROT3.OVD" advise="1"/>
      <ddeItem name="KROT3.QTT" advise="1"/>
      <ddeItem name="KROT3.ULT" advise="1"/>
      <ddeItem name="KROT3.VAR" advise="1"/>
      <ddeItem name="LAME4.ABE" advise="1"/>
      <ddeItem name="LAME4.FEC" advise="1"/>
      <ddeItem name="LAME4.HOR" advise="1"/>
      <ddeItem name="LAME4.MAX" advise="1"/>
      <ddeItem name="LAME4.MIN" advise="1"/>
      <ddeItem name="LAME4.NEG" advise="1"/>
      <ddeItem name="LAME4.NOM" advise="1"/>
      <ddeItem name="LAME4.OCP" advise="1"/>
      <ddeItem name="LAME4.OVD" advise="1"/>
      <ddeItem name="LAME4.QTT" advise="1"/>
      <ddeItem name="LAME4.ULT" advise="1"/>
      <ddeItem name="LAME4.VAR" advise="1"/>
      <ddeItem name="LIGT3.ABE" advise="1"/>
      <ddeItem name="LIGT3.FEC" advise="1"/>
      <ddeItem name="LIGT3.HOR" advise="1"/>
      <ddeItem name="LIGT3.MAX" advise="1"/>
      <ddeItem name="LIGT3.MIN" advise="1"/>
      <ddeItem name="LIGT3.NEG" advise="1"/>
      <ddeItem name="LIGT3.NOM" advise="1"/>
      <ddeItem name="LIGT3.OCP" advise="1"/>
      <ddeItem name="LIGT3.OVD" advise="1"/>
      <ddeItem name="LIGT3.QTT" advise="1"/>
      <ddeItem name="LIGT3.ULT" advise="1"/>
      <ddeItem name="LIGT3.VAR" advise="1"/>
      <ddeItem name="LLXL3.ABE" advise="1"/>
      <ddeItem name="LLXL3.FEC" advise="1"/>
      <ddeItem name="LLXL3.HOR" advise="1"/>
      <ddeItem name="LLXL3.MAX" advise="1"/>
      <ddeItem name="LLXL3.MIN" advise="1"/>
      <ddeItem name="LLXL3.NEG" advise="1"/>
      <ddeItem name="LLXL3.NOM" advise="1"/>
      <ddeItem name="LLXL3.OCP" advise="1"/>
      <ddeItem name="LLXL3.OVD" advise="1"/>
      <ddeItem name="LLXL3.QTT" advise="1"/>
      <ddeItem name="LLXL3.ULT" advise="1"/>
      <ddeItem name="LLXL3.VAR" advise="1"/>
      <ddeItem name="LREN3.ABE" advise="1"/>
      <ddeItem name="LREN3.FEC" advise="1"/>
      <ddeItem name="LREN3.HOR" advise="1"/>
      <ddeItem name="LREN3.MAX" advise="1"/>
      <ddeItem name="LREN3.MIN" advise="1"/>
      <ddeItem name="LREN3.NEG" advise="1"/>
      <ddeItem name="LREN3.NOM" advise="1"/>
      <ddeItem name="LREN3.OCP" advise="1"/>
      <ddeItem name="LREN3.OVD" advise="1"/>
      <ddeItem name="LREN3.QTT" advise="1"/>
      <ddeItem name="LREN3.ULT" advise="1"/>
      <ddeItem name="LREN3.VAR" advise="1"/>
      <ddeItem name="MRFG3.ABE" advise="1"/>
      <ddeItem name="MRFG3.FEC" advise="1"/>
      <ddeItem name="MRFG3.HOR" advise="1"/>
      <ddeItem name="MRFG3.MAX" advise="1"/>
      <ddeItem name="MRFG3.MIN" advise="1"/>
      <ddeItem name="MRFG3.NEG" advise="1"/>
      <ddeItem name="MRFG3.NOM" advise="1"/>
      <ddeItem name="MRFG3.OCP" advise="1"/>
      <ddeItem name="MRFG3.OVD" advise="1"/>
      <ddeItem name="MRFG3.QTT" advise="1"/>
      <ddeItem name="MRFG3.ULT" advise="1"/>
      <ddeItem name="MRFG3.VAR" advise="1"/>
      <ddeItem name="MRVE3.ABE" advise="1"/>
      <ddeItem name="MRVE3.FEC" advise="1"/>
      <ddeItem name="MRVE3.HOR" advise="1"/>
      <ddeItem name="MRVE3.MAX" advise="1"/>
      <ddeItem name="MRVE3.MIN" advise="1"/>
      <ddeItem name="MRVE3.NEG" advise="1"/>
      <ddeItem name="MRVE3.NOM" advise="1"/>
      <ddeItem name="MRVE3.OCP" advise="1"/>
      <ddeItem name="MRVE3.OVD" advise="1"/>
      <ddeItem name="MRVE3.QTT" advise="1"/>
      <ddeItem name="MRVE3.ULT" advise="1"/>
      <ddeItem name="MRVE3.VAR" advise="1"/>
      <ddeItem name="NATU3.ABE" advise="1"/>
      <ddeItem name="NATU3.FEC" advise="1"/>
      <ddeItem name="NATU3.HOR" advise="1"/>
      <ddeItem name="NATU3.MAX" advise="1"/>
      <ddeItem name="NATU3.MIN" advise="1"/>
      <ddeItem name="NATU3.NEG" advise="1"/>
      <ddeItem name="NATU3.NOM" advise="1"/>
      <ddeItem name="NATU3.OCP" advise="1"/>
      <ddeItem name="NATU3.OVD" advise="1"/>
      <ddeItem name="NATU3.QTT" advise="1"/>
      <ddeItem name="NATU3.ULT" advise="1"/>
      <ddeItem name="NATU3.VAR" advise="1"/>
      <ddeItem name="OIBR4.ABE" advise="1"/>
      <ddeItem name="OIBR4.FEC" advise="1"/>
      <ddeItem name="OIBR4.HOR" advise="1"/>
      <ddeItem name="OIBR4.MAX" advise="1"/>
      <ddeItem name="OIBR4.MIN" advise="1"/>
      <ddeItem name="OIBR4.NEG" advise="1"/>
      <ddeItem name="OIBR4.NOM" advise="1"/>
      <ddeItem name="OIBR4.OCP" advise="1"/>
      <ddeItem name="OIBR4.OVD" advise="1"/>
      <ddeItem name="OIBR4.QTT" advise="1"/>
      <ddeItem name="OIBR4.ULT" advise="1"/>
      <ddeItem name="OIBR4.VAR" advise="1"/>
      <ddeItem name="PCAR4.ABE" advise="1"/>
      <ddeItem name="PCAR4.FEC" advise="1"/>
      <ddeItem name="PCAR4.HOR" advise="1"/>
      <ddeItem name="PCAR4.MAX" advise="1"/>
      <ddeItem name="PCAR4.MIN" advise="1"/>
      <ddeItem name="PCAR4.NEG" advise="1"/>
      <ddeItem name="PCAR4.NOM" advise="1"/>
      <ddeItem name="PCAR4.OCP" advise="1"/>
      <ddeItem name="PCAR4.OVD" advise="1"/>
      <ddeItem name="PCAR4.QTT" advise="1"/>
      <ddeItem name="PCAR4.ULT" advise="1"/>
      <ddeItem name="PCAR4.VAR" advise="1"/>
      <ddeItem name="PDGR3.ABE" advise="1"/>
      <ddeItem name="PDGR3.FEC" advise="1"/>
      <ddeItem name="PDGR3.HOR" advise="1"/>
      <ddeItem name="PDGR3.MAX" advise="1"/>
      <ddeItem name="PDGR3.MIN" advise="1"/>
      <ddeItem name="PDGR3.NEG" advise="1"/>
      <ddeItem name="PDGR3.NOM" advise="1"/>
      <ddeItem name="PDGR3.OCP" advise="1"/>
      <ddeItem name="PDGR3.OVD" advise="1"/>
      <ddeItem name="PDGR3.QTT" advise="1"/>
      <ddeItem name="PDGR3.ULT" advise="1"/>
      <ddeItem name="PDGR3.VAR" advise="1"/>
      <ddeItem name="PETR3.ABE" advise="1"/>
      <ddeItem name="PETR3.FEC" advise="1"/>
      <ddeItem name="PETR3.HOR" advise="1"/>
      <ddeItem name="PETR3.MAX" advise="1"/>
      <ddeItem name="PETR3.MIN" advise="1"/>
      <ddeItem name="PETR3.NEG" advise="1"/>
      <ddeItem name="PETR3.NOM" advise="1"/>
      <ddeItem name="PETR3.OCP" advise="1"/>
      <ddeItem name="PETR3.OVD" advise="1"/>
      <ddeItem name="PETR3.QTT" advise="1"/>
      <ddeItem name="PETR3.ULT" advise="1"/>
      <ddeItem name="PETR3.VAR" advise="1"/>
      <ddeItem name="PETR4.ABE" advise="1"/>
      <ddeItem name="PETR4.FEC" advise="1"/>
      <ddeItem name="PETR4.HOR" advise="1"/>
      <ddeItem name="PETR4.MAX" advise="1"/>
      <ddeItem name="PETR4.MIN" advise="1"/>
      <ddeItem name="PETR4.NEG" advise="1"/>
      <ddeItem name="PETR4.NOM" advise="1"/>
      <ddeItem name="PETR4.OCP" advise="1"/>
      <ddeItem name="PETR4.OVD" advise="1"/>
      <ddeItem name="PETR4.QTT" advise="1"/>
      <ddeItem name="PETR4.ULT" advise="1"/>
      <ddeItem name="PETR4.VAR" advise="1"/>
      <ddeItem name="QUAL3.ABE" advise="1"/>
      <ddeItem name="QUAL3.FEC" advise="1"/>
      <ddeItem name="QUAL3.HOR" advise="1"/>
      <ddeItem name="QUAL3.MAX" advise="1"/>
      <ddeItem name="QUAL3.MIN" advise="1"/>
      <ddeItem name="QUAL3.NEG" advise="1"/>
      <ddeItem name="QUAL3.NOM" advise="1"/>
      <ddeItem name="QUAL3.OCP" advise="1"/>
      <ddeItem name="QUAL3.OVD" advise="1"/>
      <ddeItem name="QUAL3.QTT" advise="1"/>
      <ddeItem name="QUAL3.ULT" advise="1"/>
      <ddeItem name="QUAL3.VAR" advise="1"/>
      <ddeItem name="RENT3.ABE" advise="1"/>
      <ddeItem name="RENT3.FEC" advise="1"/>
      <ddeItem name="RENT3.HOR" advise="1"/>
      <ddeItem name="RENT3.MAX" advise="1"/>
      <ddeItem name="RENT3.MIN" advise="1"/>
      <ddeItem name="RENT3.NEG" advise="1"/>
      <ddeItem name="RENT3.NOM" advise="1"/>
      <ddeItem name="RENT3.OCP" advise="1"/>
      <ddeItem name="RENT3.OVD" advise="1"/>
      <ddeItem name="RENT3.QTT" advise="1"/>
      <ddeItem name="RENT3.ULT" advise="1"/>
      <ddeItem name="RENT3.VAR" advise="1"/>
      <ddeItem name="RSID3.ABE" advise="1"/>
      <ddeItem name="RSID3.FEC" advise="1"/>
      <ddeItem name="RSID3.HOR" advise="1"/>
      <ddeItem name="RSID3.MAX" advise="1"/>
      <ddeItem name="RSID3.MIN" advise="1"/>
      <ddeItem name="RSID3.NEG" advise="1"/>
      <ddeItem name="RSID3.NOM" advise="1"/>
      <ddeItem name="RSID3.OCP" advise="1"/>
      <ddeItem name="RSID3.OVD" advise="1"/>
      <ddeItem name="RSID3.QTT" advise="1"/>
      <ddeItem name="RSID3.ULT" advise="1"/>
      <ddeItem name="RSID3.VAR" advise="1"/>
      <ddeItem name="SANB11.ABE" advise="1"/>
      <ddeItem name="SANB11.FEC" advise="1"/>
      <ddeItem name="SANB11.HOR" advise="1"/>
      <ddeItem name="SANB11.MAX" advise="1"/>
      <ddeItem name="SANB11.MIN" advise="1"/>
      <ddeItem name="SANB11.NEG" advise="1"/>
      <ddeItem name="SANB11.NOM" advise="1"/>
      <ddeItem name="SANB11.OCP" advise="1"/>
      <ddeItem name="SANB11.OVD" advise="1"/>
      <ddeItem name="SANB11.QTT" advise="1"/>
      <ddeItem name="SANB11.ULT" advise="1"/>
      <ddeItem name="SANB11.VAR" advise="1"/>
      <ddeItem name="SBSP3.ABE" advise="1"/>
      <ddeItem name="SBSP3.FEC" advise="1"/>
      <ddeItem name="SBSP3.HOR" advise="1"/>
      <ddeItem name="SBSP3.MAX" advise="1"/>
      <ddeItem name="SBSP3.MIN" advise="1"/>
      <ddeItem name="SBSP3.NEG" advise="1"/>
      <ddeItem name="SBSP3.NOM" advise="1"/>
      <ddeItem name="SBSP3.OCP" advise="1"/>
      <ddeItem name="SBSP3.OVD" advise="1"/>
      <ddeItem name="SBSP3.QTT" advise="1"/>
      <ddeItem name="SBSP3.ULT" advise="1"/>
      <ddeItem name="SBSP3.VAR" advise="1"/>
      <ddeItem name="StdDocumentName" ole="1" advise="1"/>
      <ddeItem name="SUZB5.ABE" advise="1"/>
      <ddeItem name="SUZB5.FEC" advise="1"/>
      <ddeItem name="SUZB5.HOR" advise="1"/>
      <ddeItem name="SUZB5.MAX" advise="1"/>
      <ddeItem name="SUZB5.MIN" advise="1"/>
      <ddeItem name="SUZB5.NEG" advise="1"/>
      <ddeItem name="SUZB5.NOM" advise="1"/>
      <ddeItem name="SUZB5.OCP" advise="1"/>
      <ddeItem name="SUZB5.OVD" advise="1"/>
      <ddeItem name="SUZB5.QTT" advise="1"/>
      <ddeItem name="SUZB5.ULT" advise="1"/>
      <ddeItem name="SUZB5.VAR" advise="1"/>
      <ddeItem name="TBLE3.ABE" advise="1"/>
      <ddeItem name="TBLE3.FEC" advise="1"/>
      <ddeItem name="TBLE3.HOR" advise="1"/>
      <ddeItem name="TBLE3.MAX" advise="1"/>
      <ddeItem name="TBLE3.MIN" advise="1"/>
      <ddeItem name="TBLE3.NEG" advise="1"/>
      <ddeItem name="TBLE3.NOM" advise="1"/>
      <ddeItem name="TBLE3.OCP" advise="1"/>
      <ddeItem name="TBLE3.OVD" advise="1"/>
      <ddeItem name="TBLE3.QTT" advise="1"/>
      <ddeItem name="TBLE3.ULT" advise="1"/>
      <ddeItem name="TBLE3.VAR" advise="1"/>
      <ddeItem name="TIMP3.ABE" advise="1"/>
      <ddeItem name="TIMP3.FEC" advise="1"/>
      <ddeItem name="TIMP3.HOR" advise="1"/>
      <ddeItem name="TIMP3.MAX" advise="1"/>
      <ddeItem name="TIMP3.MIN" advise="1"/>
      <ddeItem name="TIMP3.NEG" advise="1"/>
      <ddeItem name="TIMP3.NOM" advise="1"/>
      <ddeItem name="TIMP3.OCP" advise="1"/>
      <ddeItem name="TIMP3.OVD" advise="1"/>
      <ddeItem name="TIMP3.QTT" advise="1"/>
      <ddeItem name="TIMP3.ULT" advise="1"/>
      <ddeItem name="TIMP3.VAR" advise="1"/>
      <ddeItem name="UGPA3.ABE" advise="1"/>
      <ddeItem name="UGPA3.FEC" advise="1"/>
      <ddeItem name="UGPA3.HOR" advise="1"/>
      <ddeItem name="UGPA3.MAX" advise="1"/>
      <ddeItem name="UGPA3.MIN" advise="1"/>
      <ddeItem name="UGPA3.NEG" advise="1"/>
      <ddeItem name="UGPA3.NOM" advise="1"/>
      <ddeItem name="UGPA3.OCP" advise="1"/>
      <ddeItem name="UGPA3.OVD" advise="1"/>
      <ddeItem name="UGPA3.QTT" advise="1"/>
      <ddeItem name="UGPA3.ULT" advise="1"/>
      <ddeItem name="UGPA3.VAR" advise="1"/>
      <ddeItem name="USIM5.ABE" advise="1"/>
      <ddeItem name="USIM5.FEC" advise="1"/>
      <ddeItem name="USIM5.HOR" advise="1"/>
      <ddeItem name="USIM5.MAX" advise="1"/>
      <ddeItem name="USIM5.MIN" advise="1"/>
      <ddeItem name="USIM5.NEG" advise="1"/>
      <ddeItem name="USIM5.NOM" advise="1"/>
      <ddeItem name="USIM5.OCP" advise="1"/>
      <ddeItem name="USIM5.OVD" advise="1"/>
      <ddeItem name="USIM5.QTT" advise="1"/>
      <ddeItem name="USIM5.ULT" advise="1"/>
      <ddeItem name="USIM5.VAR" advise="1"/>
      <ddeItem name="VALE3.ABE" advise="1"/>
      <ddeItem name="VALE3.FEC" advise="1"/>
      <ddeItem name="VALE3.HOR" advise="1"/>
      <ddeItem name="VALE3.MAX" advise="1"/>
      <ddeItem name="VALE3.MIN" advise="1"/>
      <ddeItem name="VALE3.NEG" advise="1"/>
      <ddeItem name="VALE3.NOM" advise="1"/>
      <ddeItem name="VALE3.OCP" advise="1"/>
      <ddeItem name="VALE3.OVD" advise="1"/>
      <ddeItem name="VALE3.QTT" advise="1"/>
      <ddeItem name="VALE3.ULT" advise="1"/>
      <ddeItem name="VALE3.VAR" advise="1"/>
      <ddeItem name="VALE5.ABE" advise="1"/>
      <ddeItem name="VALE5.FEC" advise="1"/>
      <ddeItem name="VALE5.HOR" advise="1"/>
      <ddeItem name="VALE5.MAX" advise="1"/>
      <ddeItem name="VALE5.MIN" advise="1"/>
      <ddeItem name="VALE5.NEG" advise="1"/>
      <ddeItem name="VALE5.NOM" advise="1"/>
      <ddeItem name="VALE5.OCP" advise="1"/>
      <ddeItem name="VALE5.OVD" advise="1"/>
      <ddeItem name="VALE5.QTT" advise="1"/>
      <ddeItem name="VALE5.ULT" advise="1"/>
      <ddeItem name="VALE5.VAR" advise="1"/>
      <ddeItem name="VIVT4.ABE" advise="1"/>
      <ddeItem name="VIVT4.FEC" advise="1"/>
      <ddeItem name="VIVT4.HOR" advise="1"/>
      <ddeItem name="VIVT4.MAX" advise="1"/>
      <ddeItem name="VIVT4.MIN" advise="1"/>
      <ddeItem name="VIVT4.NEG" advise="1"/>
      <ddeItem name="VIVT4.NOM" advise="1"/>
      <ddeItem name="VIVT4.OCP" advise="1"/>
      <ddeItem name="VIVT4.OVD" advise="1"/>
      <ddeItem name="VIVT4.QTT" advise="1"/>
      <ddeItem name="VIVT4.ULT" advise="1"/>
      <ddeItem name="VIVT4.VAR" advise="1"/>
    </ddeItems>
  </ddeLin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ddeLink xmlns:r="http://schemas.openxmlformats.org/officeDocument/2006/relationships" ddeService="BC" ddeTopic="HS">
    <ddeItems>
      <ddeItem name="IBOV.VARANO" advise="1"/>
      <ddeItem name="IBOV.VARMES" advise="1"/>
      <ddeItem name="StdDocumentName" ole="1" advise="1"/>
    </ddeItems>
  </dd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72"/>
  <sheetViews>
    <sheetView tabSelected="1" zoomScaleNormal="100" workbookViewId="0">
      <selection activeCell="O1" sqref="O1"/>
    </sheetView>
  </sheetViews>
  <sheetFormatPr defaultRowHeight="15" x14ac:dyDescent="0.25"/>
  <sheetData>
    <row r="1" spans="1:15" x14ac:dyDescent="0.25">
      <c r="A1" t="s">
        <v>70</v>
      </c>
      <c r="B1" t="s">
        <v>71</v>
      </c>
      <c r="C1" t="s">
        <v>72</v>
      </c>
      <c r="D1" t="s">
        <v>73</v>
      </c>
      <c r="E1" t="s">
        <v>74</v>
      </c>
      <c r="F1" t="s">
        <v>75</v>
      </c>
      <c r="G1" t="s">
        <v>76</v>
      </c>
      <c r="H1" t="s">
        <v>77</v>
      </c>
      <c r="I1" t="s">
        <v>78</v>
      </c>
      <c r="J1" t="s">
        <v>79</v>
      </c>
      <c r="K1" t="s">
        <v>80</v>
      </c>
      <c r="L1" t="s">
        <v>81</v>
      </c>
      <c r="M1" t="s">
        <v>82</v>
      </c>
      <c r="O1" t="s">
        <v>84</v>
      </c>
    </row>
    <row r="2" spans="1:15" x14ac:dyDescent="0.25">
      <c r="A2" t="s">
        <v>83</v>
      </c>
      <c r="B2" t="e">
        <f>[1]!IBOV.NOM</f>
        <v>#REF!</v>
      </c>
      <c r="C2" t="e">
        <f>[1]!IBOV.ULT</f>
        <v>#REF!</v>
      </c>
      <c r="D2" t="e">
        <f>[1]!IBOV.VAR</f>
        <v>#REF!</v>
      </c>
      <c r="E2" t="e">
        <f>([1]!IBOV.ULT)-([1]!IBOV.FEC)</f>
        <v>#REF!</v>
      </c>
      <c r="F2" t="e">
        <f>[1]!IBOV.HOR</f>
        <v>#REF!</v>
      </c>
      <c r="G2" t="e">
        <f>[1]!IBOV.MIN</f>
        <v>#REF!</v>
      </c>
      <c r="H2" t="e">
        <f>[1]!IBOV.MAX</f>
        <v>#REF!</v>
      </c>
      <c r="I2" t="e">
        <f>[1]!IBOV.ABE</f>
        <v>#REF!</v>
      </c>
      <c r="J2" t="e">
        <f>[1]!IBOV.FEC</f>
        <v>#REF!</v>
      </c>
      <c r="K2" t="e">
        <f>[1]!IBOV.NEG</f>
        <v>#REF!</v>
      </c>
      <c r="L2" t="e">
        <f>[2]!IBOV.VARMES</f>
        <v>#REF!</v>
      </c>
      <c r="M2" t="e">
        <f>[2]!IBOV.VARANO</f>
        <v>#REF!</v>
      </c>
      <c r="O2" t="e">
        <f>DPTrackCell(A2, C2)</f>
        <v>#VALUE!</v>
      </c>
    </row>
    <row r="3" spans="1:15" x14ac:dyDescent="0.25">
      <c r="A3" t="s">
        <v>0</v>
      </c>
      <c r="B3" t="e">
        <f>[1]!ALLL3.NOM</f>
        <v>#REF!</v>
      </c>
      <c r="C3" t="e">
        <f>[1]!ALLL3.ULT</f>
        <v>#REF!</v>
      </c>
      <c r="D3" t="e">
        <f>[1]!ALLL3.VAR</f>
        <v>#REF!</v>
      </c>
      <c r="E3" t="e">
        <f>[1]!ALLL3.HOR</f>
        <v>#REF!</v>
      </c>
      <c r="F3" t="e">
        <f>[1]!ALLL3.OCP</f>
        <v>#REF!</v>
      </c>
      <c r="G3" t="e">
        <f>[1]!ALLL3.OVD</f>
        <v>#REF!</v>
      </c>
      <c r="H3" t="e">
        <f>[1]!ALLL3.NEG</f>
        <v>#REF!</v>
      </c>
      <c r="I3" t="e">
        <f>[1]!ALLL3.QTT</f>
        <v>#REF!</v>
      </c>
      <c r="J3" t="e">
        <f>[1]!ALLL3.MIN</f>
        <v>#REF!</v>
      </c>
      <c r="K3" t="e">
        <f>[1]!ALLL3.MAX</f>
        <v>#REF!</v>
      </c>
      <c r="L3" t="e">
        <f>[1]!ALLL3.ABE</f>
        <v>#REF!</v>
      </c>
      <c r="M3" t="e">
        <f>[1]!ALLL3.FEC</f>
        <v>#REF!</v>
      </c>
      <c r="O3" t="e">
        <f t="shared" ref="O3:O40" si="0">DPTrackCell(A3, C3)</f>
        <v>#VALUE!</v>
      </c>
    </row>
    <row r="4" spans="1:15" x14ac:dyDescent="0.25">
      <c r="A4" t="s">
        <v>8</v>
      </c>
      <c r="B4" t="e">
        <f>[1]!BBAS3.NOM</f>
        <v>#REF!</v>
      </c>
      <c r="C4" t="e">
        <f>[1]!BBAS3.ULT</f>
        <v>#REF!</v>
      </c>
      <c r="D4" t="e">
        <f>[1]!BBAS3.VAR</f>
        <v>#REF!</v>
      </c>
      <c r="E4" t="e">
        <f>[1]!BBAS3.HOR</f>
        <v>#REF!</v>
      </c>
      <c r="F4" t="e">
        <f>[1]!BBAS3.OCP</f>
        <v>#REF!</v>
      </c>
      <c r="G4" t="e">
        <f>[1]!BBAS3.OVD</f>
        <v>#REF!</v>
      </c>
      <c r="H4" t="e">
        <f>[1]!BBAS3.NEG</f>
        <v>#REF!</v>
      </c>
      <c r="I4" t="e">
        <f>[1]!BBAS3.QTT</f>
        <v>#REF!</v>
      </c>
      <c r="J4" t="e">
        <f>[1]!BBAS3.MIN</f>
        <v>#REF!</v>
      </c>
      <c r="K4" t="e">
        <f>[1]!BBAS3.MAX</f>
        <v>#REF!</v>
      </c>
      <c r="L4" t="e">
        <f>[1]!BBAS3.ABE</f>
        <v>#REF!</v>
      </c>
      <c r="M4">
        <v>31.78</v>
      </c>
      <c r="O4" t="e">
        <f t="shared" si="0"/>
        <v>#VALUE!</v>
      </c>
    </row>
    <row r="5" spans="1:15" x14ac:dyDescent="0.25">
      <c r="A5" t="s">
        <v>5</v>
      </c>
      <c r="B5" t="e">
        <f>[1]!BBDC3.NOM</f>
        <v>#REF!</v>
      </c>
      <c r="C5" t="e">
        <f>[1]!BBDC3.ULT</f>
        <v>#REF!</v>
      </c>
      <c r="D5" t="e">
        <f>[1]!BBDC3.VAR</f>
        <v>#REF!</v>
      </c>
      <c r="E5" t="e">
        <f>[1]!BBDC3.HOR</f>
        <v>#REF!</v>
      </c>
      <c r="F5" t="e">
        <f>[1]!BBDC3.OCP</f>
        <v>#REF!</v>
      </c>
      <c r="G5" t="e">
        <f>[1]!BBDC3.OVD</f>
        <v>#REF!</v>
      </c>
      <c r="H5" t="e">
        <f>[1]!BBDC3.NEG</f>
        <v>#REF!</v>
      </c>
      <c r="I5" t="e">
        <f>[1]!BBDC3.QTT</f>
        <v>#REF!</v>
      </c>
      <c r="J5" t="e">
        <f>[1]!BBDC3.MIN</f>
        <v>#REF!</v>
      </c>
      <c r="K5" t="e">
        <f>[1]!BBDC3.MAX</f>
        <v>#REF!</v>
      </c>
      <c r="L5" t="e">
        <f>[1]!BBDC3.ABE</f>
        <v>#REF!</v>
      </c>
      <c r="M5" t="e">
        <f>[1]!BBDC3.FEC</f>
        <v>#REF!</v>
      </c>
      <c r="O5" t="e">
        <f t="shared" si="0"/>
        <v>#VALUE!</v>
      </c>
    </row>
    <row r="6" spans="1:15" x14ac:dyDescent="0.25">
      <c r="A6" t="s">
        <v>6</v>
      </c>
      <c r="B6" t="e">
        <f>[1]!BBDC4.NOM</f>
        <v>#REF!</v>
      </c>
      <c r="C6" t="e">
        <f>[1]!BBDC4.ULT</f>
        <v>#REF!</v>
      </c>
      <c r="D6" t="e">
        <f>[1]!BBDC4.VAR</f>
        <v>#REF!</v>
      </c>
      <c r="E6" t="e">
        <f>[1]!BBDC4.HOR</f>
        <v>#REF!</v>
      </c>
      <c r="F6" t="e">
        <f>[1]!BBDC4.OCP</f>
        <v>#REF!</v>
      </c>
      <c r="G6" t="e">
        <f>[1]!BBDC4.OVD</f>
        <v>#REF!</v>
      </c>
      <c r="H6" t="e">
        <f>[1]!BBDC4.NEG</f>
        <v>#REF!</v>
      </c>
      <c r="I6" t="e">
        <f>[1]!BBDC4.QTT</f>
        <v>#REF!</v>
      </c>
      <c r="J6" t="e">
        <f>[1]!BBDC4.MIN</f>
        <v>#REF!</v>
      </c>
      <c r="K6" t="e">
        <f>[1]!BBDC4.MAX</f>
        <v>#REF!</v>
      </c>
      <c r="L6" t="e">
        <f>[1]!BBDC4.ABE</f>
        <v>#REF!</v>
      </c>
      <c r="M6" t="e">
        <f>[1]!BBDC4.FEC</f>
        <v>#REF!</v>
      </c>
      <c r="O6" t="e">
        <f t="shared" si="0"/>
        <v>#VALUE!</v>
      </c>
    </row>
    <row r="7" spans="1:15" x14ac:dyDescent="0.25">
      <c r="A7" t="s">
        <v>1</v>
      </c>
      <c r="B7" t="e">
        <f>[1]!BBSE3.NOM</f>
        <v>#REF!</v>
      </c>
      <c r="C7" t="e">
        <f>[1]!BBSE3.ULT</f>
        <v>#REF!</v>
      </c>
      <c r="D7" t="e">
        <f>[1]!BBSE3.VAR</f>
        <v>#REF!</v>
      </c>
      <c r="E7" t="e">
        <f>[1]!BBSE3.HOR</f>
        <v>#REF!</v>
      </c>
      <c r="F7" t="e">
        <f>[1]!BBSE3.OCP</f>
        <v>#REF!</v>
      </c>
      <c r="G7" t="e">
        <f>[1]!BBSE3.OVD</f>
        <v>#REF!</v>
      </c>
      <c r="H7" t="e">
        <f>[1]!BBSE3.NEG</f>
        <v>#REF!</v>
      </c>
      <c r="I7" t="e">
        <f>[1]!BBSE3.QTT</f>
        <v>#REF!</v>
      </c>
      <c r="J7" t="e">
        <f>[1]!BBSE3.MIN</f>
        <v>#REF!</v>
      </c>
      <c r="K7" t="e">
        <f>[1]!BBSE3.MAX</f>
        <v>#REF!</v>
      </c>
      <c r="L7" t="e">
        <f>[1]!BBSE3.ABE</f>
        <v>#REF!</v>
      </c>
      <c r="M7" t="e">
        <f>[1]!BBSE3.FEC</f>
        <v>#REF!</v>
      </c>
      <c r="O7" t="e">
        <f t="shared" si="0"/>
        <v>#VALUE!</v>
      </c>
    </row>
    <row r="8" spans="1:15" x14ac:dyDescent="0.25">
      <c r="A8" t="s">
        <v>66</v>
      </c>
      <c r="B8" t="e">
        <f>[1]!BISA3.NOM</f>
        <v>#REF!</v>
      </c>
      <c r="C8" t="e">
        <f>[1]!BISA3.ULT</f>
        <v>#REF!</v>
      </c>
      <c r="D8" t="e">
        <f>[1]!BISA3.VAR</f>
        <v>#REF!</v>
      </c>
      <c r="E8" t="e">
        <f>[1]!BISA3.HOR</f>
        <v>#REF!</v>
      </c>
      <c r="F8" t="e">
        <f>[1]!BISA3.OCP</f>
        <v>#REF!</v>
      </c>
      <c r="G8" t="e">
        <f>[1]!BISA3.OVD</f>
        <v>#REF!</v>
      </c>
      <c r="H8" t="e">
        <f>[1]!BISA3.NEG</f>
        <v>#REF!</v>
      </c>
      <c r="I8" t="e">
        <f>[1]!BISA3.QTT</f>
        <v>#REF!</v>
      </c>
      <c r="J8" t="e">
        <f>[1]!BISA3.MIN</f>
        <v>#REF!</v>
      </c>
      <c r="K8" t="e">
        <f>[1]!BISA3.MAX</f>
        <v>#REF!</v>
      </c>
      <c r="L8" t="e">
        <f>[1]!BISA3.ABE</f>
        <v>#REF!</v>
      </c>
      <c r="M8" t="e">
        <f>[1]!BISA3.FEC</f>
        <v>#REF!</v>
      </c>
      <c r="O8" t="e">
        <f t="shared" si="0"/>
        <v>#VALUE!</v>
      </c>
    </row>
    <row r="9" spans="1:15" x14ac:dyDescent="0.25">
      <c r="A9" t="s">
        <v>7</v>
      </c>
      <c r="B9" t="e">
        <f>[1]!BRAP4.NOM</f>
        <v>#REF!</v>
      </c>
      <c r="C9" t="e">
        <f>[1]!BRAP4.ULT</f>
        <v>#REF!</v>
      </c>
      <c r="D9" t="e">
        <f>[1]!BRAP4.VAR</f>
        <v>#REF!</v>
      </c>
      <c r="E9" t="e">
        <f>[1]!BRAP4.HOR</f>
        <v>#REF!</v>
      </c>
      <c r="F9" t="e">
        <f>[1]!BRAP4.OCP</f>
        <v>#REF!</v>
      </c>
      <c r="G9" t="e">
        <f>[1]!BRAP4.OVD</f>
        <v>#REF!</v>
      </c>
      <c r="H9" t="e">
        <f>[1]!BRAP4.NEG</f>
        <v>#REF!</v>
      </c>
      <c r="I9" t="e">
        <f>[1]!BRAP4.QTT</f>
        <v>#REF!</v>
      </c>
      <c r="J9" t="e">
        <f>[1]!BRAP4.MIN</f>
        <v>#REF!</v>
      </c>
      <c r="K9" t="e">
        <f>[1]!BRAP4.MAX</f>
        <v>#REF!</v>
      </c>
      <c r="L9" t="e">
        <f>[1]!BRAP4.ABE</f>
        <v>#REF!</v>
      </c>
      <c r="M9" t="e">
        <f>[1]!BRAP4.FEC</f>
        <v>#REF!</v>
      </c>
      <c r="O9" t="e">
        <f t="shared" si="0"/>
        <v>#VALUE!</v>
      </c>
    </row>
    <row r="10" spans="1:15" x14ac:dyDescent="0.25">
      <c r="A10" t="s">
        <v>10</v>
      </c>
      <c r="B10" t="e">
        <f>[1]!BRFS3.NOM</f>
        <v>#REF!</v>
      </c>
      <c r="C10" t="e">
        <f>[1]!BRFS3.ULT</f>
        <v>#REF!</v>
      </c>
      <c r="D10" t="e">
        <f>[1]!BRFS3.VAR</f>
        <v>#REF!</v>
      </c>
      <c r="E10" t="e">
        <f>[1]!BRFS3.HOR</f>
        <v>#REF!</v>
      </c>
      <c r="F10" t="e">
        <f>[1]!BRFS3.OCP</f>
        <v>#REF!</v>
      </c>
      <c r="G10" t="e">
        <f>[1]!BRFS3.OVD</f>
        <v>#REF!</v>
      </c>
      <c r="H10" t="e">
        <f>[1]!BRFS3.NEG</f>
        <v>#REF!</v>
      </c>
      <c r="I10" t="e">
        <f>[1]!BRFS3.QTT</f>
        <v>#REF!</v>
      </c>
      <c r="J10" t="e">
        <f>[1]!BRFS3.MIN</f>
        <v>#REF!</v>
      </c>
      <c r="K10" t="e">
        <f>[1]!BRFS3.MAX</f>
        <v>#REF!</v>
      </c>
      <c r="L10" t="e">
        <f>[1]!BRFS3.ABE</f>
        <v>#REF!</v>
      </c>
      <c r="M10" t="e">
        <f>[1]!BRFS3.FEC</f>
        <v>#REF!</v>
      </c>
      <c r="O10" t="e">
        <f t="shared" si="0"/>
        <v>#VALUE!</v>
      </c>
    </row>
    <row r="11" spans="1:15" x14ac:dyDescent="0.25">
      <c r="A11" t="s">
        <v>9</v>
      </c>
      <c r="B11" t="e">
        <f>[1]!BRKM5.NOM</f>
        <v>#REF!</v>
      </c>
      <c r="C11" t="e">
        <f>[1]!BRKM5.ULT</f>
        <v>#REF!</v>
      </c>
      <c r="D11" t="e">
        <f>[1]!BRKM5.VAR</f>
        <v>#REF!</v>
      </c>
      <c r="E11" t="e">
        <f>[1]!BRKM5.HOR</f>
        <v>#REF!</v>
      </c>
      <c r="F11" t="e">
        <f>[1]!BRKM5.OCP</f>
        <v>#REF!</v>
      </c>
      <c r="G11" t="e">
        <f>[1]!BRKM5.OVD</f>
        <v>#REF!</v>
      </c>
      <c r="H11" t="e">
        <f>[1]!BRKM5.NEG</f>
        <v>#REF!</v>
      </c>
      <c r="I11" t="e">
        <f>[1]!BRKM5.QTT</f>
        <v>#REF!</v>
      </c>
      <c r="J11" t="e">
        <f>[1]!BRKM5.MIN</f>
        <v>#REF!</v>
      </c>
      <c r="K11" t="e">
        <f>[1]!BRKM5.MAX</f>
        <v>#REF!</v>
      </c>
      <c r="L11" t="e">
        <f>[1]!BRKM5.ABE</f>
        <v>#REF!</v>
      </c>
      <c r="M11" t="e">
        <f>[1]!BRKM5.FEC</f>
        <v>#REF!</v>
      </c>
      <c r="O11" t="e">
        <f t="shared" si="0"/>
        <v>#VALUE!</v>
      </c>
    </row>
    <row r="12" spans="1:15" x14ac:dyDescent="0.25">
      <c r="A12" t="s">
        <v>3</v>
      </c>
      <c r="B12" t="e">
        <f>[1]!BRML3.NOM</f>
        <v>#REF!</v>
      </c>
      <c r="C12" t="e">
        <f>[1]!BRML3.ULT</f>
        <v>#REF!</v>
      </c>
      <c r="D12" t="e">
        <f>[1]!BRML3.VAR</f>
        <v>#REF!</v>
      </c>
      <c r="E12" t="e">
        <f>[1]!BRML3.HOR</f>
        <v>#REF!</v>
      </c>
      <c r="F12" t="e">
        <f>[1]!BRML3.OCP</f>
        <v>#REF!</v>
      </c>
      <c r="G12" t="e">
        <f>[1]!BRML3.OVD</f>
        <v>#REF!</v>
      </c>
      <c r="H12" t="e">
        <f>[1]!BRML3.NEG</f>
        <v>#REF!</v>
      </c>
      <c r="I12" t="e">
        <f>[1]!BRML3.QTT</f>
        <v>#REF!</v>
      </c>
      <c r="J12" t="e">
        <f>[1]!BRML3.MIN</f>
        <v>#REF!</v>
      </c>
      <c r="K12" t="e">
        <f>[1]!BRML3.MAX</f>
        <v>#REF!</v>
      </c>
      <c r="L12" t="e">
        <f>[1]!BRML3.ABE</f>
        <v>#REF!</v>
      </c>
      <c r="M12" t="e">
        <f>[1]!BRML3.FEC</f>
        <v>#REF!</v>
      </c>
      <c r="O12" t="e">
        <f t="shared" si="0"/>
        <v>#VALUE!</v>
      </c>
    </row>
    <row r="13" spans="1:15" x14ac:dyDescent="0.25">
      <c r="A13" t="s">
        <v>4</v>
      </c>
      <c r="B13" t="e">
        <f>[1]!BRPR3.NOM</f>
        <v>#REF!</v>
      </c>
      <c r="C13" t="e">
        <f>[1]!BRPR3.ULT</f>
        <v>#REF!</v>
      </c>
      <c r="D13" t="e">
        <f>[1]!BRPR3.VAR</f>
        <v>#REF!</v>
      </c>
      <c r="E13" t="e">
        <f>[1]!BRPR3.HOR</f>
        <v>#REF!</v>
      </c>
      <c r="F13" t="e">
        <f>[1]!BRPR3.OCP</f>
        <v>#REF!</v>
      </c>
      <c r="G13" t="e">
        <f>[1]!BRPR3.OVD</f>
        <v>#REF!</v>
      </c>
      <c r="H13" t="e">
        <f>[1]!BRPR3.NEG</f>
        <v>#REF!</v>
      </c>
      <c r="I13" t="e">
        <f>[1]!BRPR3.QTT</f>
        <v>#REF!</v>
      </c>
      <c r="J13" t="e">
        <f>[1]!BRPR3.MIN</f>
        <v>#REF!</v>
      </c>
      <c r="K13" t="e">
        <f>[1]!BRPR3.MAX</f>
        <v>#REF!</v>
      </c>
      <c r="L13" t="e">
        <f>[1]!BRPR3.ABE</f>
        <v>#REF!</v>
      </c>
      <c r="M13" t="e">
        <f>[1]!BRPR3.FEC</f>
        <v>#REF!</v>
      </c>
      <c r="O13" t="e">
        <f t="shared" si="0"/>
        <v>#VALUE!</v>
      </c>
    </row>
    <row r="14" spans="1:15" x14ac:dyDescent="0.25">
      <c r="A14" t="s">
        <v>2</v>
      </c>
      <c r="B14" t="e">
        <f>[1]!BVMF3.NOM</f>
        <v>#REF!</v>
      </c>
      <c r="C14" t="e">
        <f>[1]!BVMF3.ULT</f>
        <v>#REF!</v>
      </c>
      <c r="D14" t="e">
        <f>[1]!BVMF3.VAR</f>
        <v>#REF!</v>
      </c>
      <c r="E14" t="e">
        <f>[1]!BVMF3.HOR</f>
        <v>#REF!</v>
      </c>
      <c r="F14" t="e">
        <f>[1]!BVMF3.OCP</f>
        <v>#REF!</v>
      </c>
      <c r="G14" t="e">
        <f>[1]!BVMF3.OVD</f>
        <v>#REF!</v>
      </c>
      <c r="H14" t="e">
        <f>[1]!BVMF3.NEG</f>
        <v>#REF!</v>
      </c>
      <c r="I14" t="e">
        <f>[1]!BVMF3.QTT</f>
        <v>#REF!</v>
      </c>
      <c r="J14" t="e">
        <f>[1]!BVMF3.MIN</f>
        <v>#REF!</v>
      </c>
      <c r="K14" t="e">
        <f>[1]!BVMF3.MAX</f>
        <v>#REF!</v>
      </c>
      <c r="L14" t="e">
        <f>[1]!BVMF3.ABE</f>
        <v>#REF!</v>
      </c>
      <c r="M14" t="e">
        <f>[1]!BVMF3.FEC</f>
        <v>#REF!</v>
      </c>
      <c r="O14" t="e">
        <f t="shared" si="0"/>
        <v>#VALUE!</v>
      </c>
    </row>
    <row r="15" spans="1:15" x14ac:dyDescent="0.25">
      <c r="A15" t="s">
        <v>11</v>
      </c>
      <c r="B15" t="e">
        <f>[1]!CCRO3.NOM</f>
        <v>#REF!</v>
      </c>
      <c r="C15" t="e">
        <f>[1]!CCRO3.ULT</f>
        <v>#REF!</v>
      </c>
      <c r="D15" t="e">
        <f>[1]!CCRO3.VAR</f>
        <v>#REF!</v>
      </c>
      <c r="E15" t="e">
        <f>[1]!CCRO3.HOR</f>
        <v>#REF!</v>
      </c>
      <c r="F15" t="e">
        <f>[1]!CCRO3.OCP</f>
        <v>#REF!</v>
      </c>
      <c r="G15" t="e">
        <f>[1]!CCRO3.OVD</f>
        <v>#REF!</v>
      </c>
      <c r="H15" t="e">
        <f>[1]!CCRO3.NEG</f>
        <v>#REF!</v>
      </c>
      <c r="I15" t="e">
        <f>[1]!CCRO3.QTT</f>
        <v>#REF!</v>
      </c>
      <c r="J15" t="e">
        <f>[1]!CCRO3.MIN</f>
        <v>#REF!</v>
      </c>
      <c r="K15" t="e">
        <f>[1]!CCRO3.MAX</f>
        <v>#REF!</v>
      </c>
      <c r="L15" t="e">
        <f>[1]!CCRO3.ABE</f>
        <v>#REF!</v>
      </c>
      <c r="M15" t="e">
        <f>[1]!CCRO3.FEC</f>
        <v>#REF!</v>
      </c>
      <c r="O15" t="e">
        <f t="shared" si="0"/>
        <v>#VALUE!</v>
      </c>
    </row>
    <row r="16" spans="1:15" x14ac:dyDescent="0.25">
      <c r="A16" t="s">
        <v>13</v>
      </c>
      <c r="B16" t="e">
        <f>[1]!CESP6.NOM</f>
        <v>#REF!</v>
      </c>
      <c r="C16" t="e">
        <f>[1]!CESP6.ULT</f>
        <v>#REF!</v>
      </c>
      <c r="D16" t="e">
        <f>[1]!CESP6.VAR</f>
        <v>#REF!</v>
      </c>
      <c r="E16" t="e">
        <f>[1]!CESP6.HOR</f>
        <v>#REF!</v>
      </c>
      <c r="F16" t="e">
        <f>[1]!CESP6.OCP</f>
        <v>#REF!</v>
      </c>
      <c r="G16" t="e">
        <f>[1]!CESP6.OVD</f>
        <v>#REF!</v>
      </c>
      <c r="H16" t="e">
        <f>[1]!CESP6.NEG</f>
        <v>#REF!</v>
      </c>
      <c r="I16" t="e">
        <f>[1]!CESP6.QTT</f>
        <v>#REF!</v>
      </c>
      <c r="J16" t="e">
        <f>[1]!CESP6.MIN</f>
        <v>#REF!</v>
      </c>
      <c r="K16" t="e">
        <f>[1]!CESP6.MAX</f>
        <v>#REF!</v>
      </c>
      <c r="L16" t="e">
        <f>[1]!CESP6.ABE</f>
        <v>#REF!</v>
      </c>
      <c r="M16" t="e">
        <f>[1]!CESP6.FEC</f>
        <v>#REF!</v>
      </c>
      <c r="O16" t="e">
        <f t="shared" si="0"/>
        <v>#VALUE!</v>
      </c>
    </row>
    <row r="17" spans="1:15" x14ac:dyDescent="0.25">
      <c r="A17" t="s">
        <v>16</v>
      </c>
      <c r="B17" t="e">
        <f>[1]!CIEL3.NOM</f>
        <v>#REF!</v>
      </c>
      <c r="C17" t="e">
        <f>[1]!CIEL3.ULT</f>
        <v>#REF!</v>
      </c>
      <c r="D17" t="e">
        <f>[1]!CIEL3.VAR</f>
        <v>#REF!</v>
      </c>
      <c r="E17" t="e">
        <f>[1]!CIEL3.HOR</f>
        <v>#REF!</v>
      </c>
      <c r="F17" t="e">
        <f>[1]!CIEL3.OCP</f>
        <v>#REF!</v>
      </c>
      <c r="G17" t="e">
        <f>[1]!CIEL3.OVD</f>
        <v>#REF!</v>
      </c>
      <c r="H17" t="e">
        <f>[1]!CIEL3.NEG</f>
        <v>#REF!</v>
      </c>
      <c r="I17" t="e">
        <f>[1]!CIEL3.QTT</f>
        <v>#REF!</v>
      </c>
      <c r="J17" t="e">
        <f>[1]!CIEL3.MIN</f>
        <v>#REF!</v>
      </c>
      <c r="K17" t="e">
        <f>[1]!CIEL3.MAX</f>
        <v>#REF!</v>
      </c>
      <c r="L17" t="e">
        <f>[1]!CIEL3.ABE</f>
        <v>#REF!</v>
      </c>
      <c r="M17" t="e">
        <f>[1]!CIEL3.FEC</f>
        <v>#REF!</v>
      </c>
      <c r="O17" t="e">
        <f t="shared" si="0"/>
        <v>#VALUE!</v>
      </c>
    </row>
    <row r="18" spans="1:15" x14ac:dyDescent="0.25">
      <c r="A18" t="s">
        <v>12</v>
      </c>
      <c r="B18" t="e">
        <f>[1]!CMIG4.NOM</f>
        <v>#REF!</v>
      </c>
      <c r="C18" t="e">
        <f>[1]!CMIG4.ULT</f>
        <v>#REF!</v>
      </c>
      <c r="D18" t="e">
        <f>[1]!CMIG4.VAR</f>
        <v>#REF!</v>
      </c>
      <c r="E18" t="e">
        <f>[1]!CMIG4.HOR</f>
        <v>#REF!</v>
      </c>
      <c r="F18" t="e">
        <f>[1]!CMIG4.OCP</f>
        <v>#REF!</v>
      </c>
      <c r="G18" t="e">
        <f>[1]!CMIG4.OVD</f>
        <v>#REF!</v>
      </c>
      <c r="H18" t="e">
        <f>[1]!CMIG4.NEG</f>
        <v>#REF!</v>
      </c>
      <c r="I18" t="e">
        <f>[1]!CMIG4.QTT</f>
        <v>#REF!</v>
      </c>
      <c r="J18" t="e">
        <f>[1]!CMIG4.MIN</f>
        <v>#REF!</v>
      </c>
      <c r="K18" t="e">
        <f>[1]!CMIG4.MAX</f>
        <v>#REF!</v>
      </c>
      <c r="L18" t="e">
        <f>[1]!CMIG4.ABE</f>
        <v>#REF!</v>
      </c>
      <c r="M18" t="e">
        <f>[1]!CMIG4.FEC</f>
        <v>#REF!</v>
      </c>
      <c r="O18" t="e">
        <f t="shared" si="0"/>
        <v>#VALUE!</v>
      </c>
    </row>
    <row r="19" spans="1:15" x14ac:dyDescent="0.25">
      <c r="A19" t="s">
        <v>19</v>
      </c>
      <c r="B19" t="e">
        <f>[1]!CPFE3.NOM</f>
        <v>#REF!</v>
      </c>
      <c r="C19" t="e">
        <f>[1]!CPFE3.ULT</f>
        <v>#REF!</v>
      </c>
      <c r="D19" t="e">
        <f>[1]!CPFE3.VAR</f>
        <v>#REF!</v>
      </c>
      <c r="E19" t="e">
        <f>[1]!CPFE3.HOR</f>
        <v>#REF!</v>
      </c>
      <c r="F19" t="e">
        <f>[1]!CPFE3.OCP</f>
        <v>#REF!</v>
      </c>
      <c r="G19" t="e">
        <f>[1]!CPFE3.OVD</f>
        <v>#REF!</v>
      </c>
      <c r="H19" t="e">
        <f>[1]!CPFE3.NEG</f>
        <v>#REF!</v>
      </c>
      <c r="I19" t="e">
        <f>[1]!CPFE3.QTT</f>
        <v>#REF!</v>
      </c>
      <c r="J19" t="e">
        <f>[1]!CPFE3.MIN</f>
        <v>#REF!</v>
      </c>
      <c r="K19" t="e">
        <f>[1]!CPFE3.MAX</f>
        <v>#REF!</v>
      </c>
      <c r="L19" t="e">
        <f>[1]!CPFE3.ABE</f>
        <v>#REF!</v>
      </c>
      <c r="M19" t="e">
        <f>[1]!CPFE3.FEC</f>
        <v>#REF!</v>
      </c>
      <c r="O19" t="e">
        <f t="shared" si="0"/>
        <v>#VALUE!</v>
      </c>
    </row>
    <row r="20" spans="1:15" x14ac:dyDescent="0.25">
      <c r="A20" t="s">
        <v>17</v>
      </c>
      <c r="B20" t="e">
        <f>[1]!CPLE6.NOM</f>
        <v>#REF!</v>
      </c>
      <c r="C20" t="e">
        <f>[1]!CPLE6.ULT</f>
        <v>#REF!</v>
      </c>
      <c r="D20" t="e">
        <f>[1]!CPLE6.VAR</f>
        <v>#REF!</v>
      </c>
      <c r="E20" t="e">
        <f>[1]!CPLE6.HOR</f>
        <v>#REF!</v>
      </c>
      <c r="F20" t="e">
        <f>[1]!CPLE6.OCP</f>
        <v>#REF!</v>
      </c>
      <c r="G20" t="e">
        <f>[1]!CPLE6.OVD</f>
        <v>#REF!</v>
      </c>
      <c r="H20" t="e">
        <f>[1]!CPLE6.NEG</f>
        <v>#REF!</v>
      </c>
      <c r="I20" t="e">
        <f>[1]!CPLE6.QTT</f>
        <v>#REF!</v>
      </c>
      <c r="J20" t="e">
        <f>[1]!CPLE6.MIN</f>
        <v>#REF!</v>
      </c>
      <c r="K20" t="e">
        <f>[1]!CPLE6.MAX</f>
        <v>#REF!</v>
      </c>
      <c r="L20" t="e">
        <f>[1]!CPLE6.ABE</f>
        <v>#REF!</v>
      </c>
      <c r="M20" t="e">
        <f>[1]!CPLE6.FEC</f>
        <v>#REF!</v>
      </c>
      <c r="O20" t="e">
        <f t="shared" si="0"/>
        <v>#VALUE!</v>
      </c>
    </row>
    <row r="21" spans="1:15" x14ac:dyDescent="0.25">
      <c r="A21" t="s">
        <v>57</v>
      </c>
      <c r="B21" t="e">
        <f>[1]!CRUZ3.NOM</f>
        <v>#REF!</v>
      </c>
      <c r="C21" t="e">
        <f>[1]!CRUZ3.ULT</f>
        <v>#REF!</v>
      </c>
      <c r="D21" t="e">
        <f>[1]!CRUZ3.VAR</f>
        <v>#REF!</v>
      </c>
      <c r="E21" t="e">
        <f>[1]!CRUZ3.HOR</f>
        <v>#REF!</v>
      </c>
      <c r="F21" t="e">
        <f>[1]!CRUZ3.OCP</f>
        <v>#REF!</v>
      </c>
      <c r="G21" t="e">
        <f>[1]!CRUZ3.OVD</f>
        <v>#REF!</v>
      </c>
      <c r="H21" t="e">
        <f>[1]!CRUZ3.NEG</f>
        <v>#REF!</v>
      </c>
      <c r="I21" t="e">
        <f>[1]!CRUZ3.QTT</f>
        <v>#REF!</v>
      </c>
      <c r="J21" t="e">
        <f>[1]!CRUZ3.MIN</f>
        <v>#REF!</v>
      </c>
      <c r="K21" t="e">
        <f>[1]!CRUZ3.MAX</f>
        <v>#REF!</v>
      </c>
      <c r="L21" t="e">
        <f>[1]!CRUZ3.ABE</f>
        <v>#REF!</v>
      </c>
      <c r="M21" t="e">
        <f>[1]!CRUZ3.FEC</f>
        <v>#REF!</v>
      </c>
      <c r="O21" t="e">
        <f t="shared" si="0"/>
        <v>#VALUE!</v>
      </c>
    </row>
    <row r="22" spans="1:15" x14ac:dyDescent="0.25">
      <c r="A22" t="s">
        <v>18</v>
      </c>
      <c r="B22" t="e">
        <f>[1]!CSAN3.NOM</f>
        <v>#REF!</v>
      </c>
      <c r="C22" t="e">
        <f>[1]!CSAN3.ULT</f>
        <v>#REF!</v>
      </c>
      <c r="D22" t="e">
        <f>[1]!CSAN3.VAR</f>
        <v>#REF!</v>
      </c>
      <c r="E22" t="e">
        <f>[1]!CSAN3.HOR</f>
        <v>#REF!</v>
      </c>
      <c r="F22" t="e">
        <f>[1]!CSAN3.OCP</f>
        <v>#REF!</v>
      </c>
      <c r="G22" t="e">
        <f>[1]!CSAN3.OVD</f>
        <v>#REF!</v>
      </c>
      <c r="H22" t="e">
        <f>[1]!CSAN3.NEG</f>
        <v>#REF!</v>
      </c>
      <c r="I22" t="e">
        <f>[1]!CSAN3.QTT</f>
        <v>#REF!</v>
      </c>
      <c r="J22" t="e">
        <f>[1]!CSAN3.MIN</f>
        <v>#REF!</v>
      </c>
      <c r="K22" t="e">
        <f>[1]!CSAN3.MAX</f>
        <v>#REF!</v>
      </c>
      <c r="L22" t="e">
        <f>[1]!CSAN3.ABE</f>
        <v>#REF!</v>
      </c>
      <c r="M22" t="e">
        <f>[1]!CSAN3.FEC</f>
        <v>#REF!</v>
      </c>
      <c r="O22" t="e">
        <f t="shared" si="0"/>
        <v>#VALUE!</v>
      </c>
    </row>
    <row r="23" spans="1:15" x14ac:dyDescent="0.25">
      <c r="A23" t="s">
        <v>56</v>
      </c>
      <c r="B23" t="e">
        <f>[1]!CSNA3.NOM</f>
        <v>#REF!</v>
      </c>
      <c r="C23" t="e">
        <f>[1]!CSNA3.ULT</f>
        <v>#REF!</v>
      </c>
      <c r="D23" t="e">
        <f>[1]!CSNA3.VAR</f>
        <v>#REF!</v>
      </c>
      <c r="E23" t="e">
        <f>[1]!CSNA3.HOR</f>
        <v>#REF!</v>
      </c>
      <c r="F23" t="e">
        <f>[1]!CSNA3.OCP</f>
        <v>#REF!</v>
      </c>
      <c r="G23" t="e">
        <f>[1]!CSNA3.OVD</f>
        <v>#REF!</v>
      </c>
      <c r="H23" t="e">
        <f>[1]!CSNA3.NEG</f>
        <v>#REF!</v>
      </c>
      <c r="I23" t="e">
        <f>[1]!CSNA3.QTT</f>
        <v>#REF!</v>
      </c>
      <c r="J23" t="e">
        <f>[1]!CSNA3.MIN</f>
        <v>#REF!</v>
      </c>
      <c r="K23" t="e">
        <f>[1]!CSNA3.MAX</f>
        <v>#REF!</v>
      </c>
      <c r="L23" t="e">
        <f>[1]!CSNA3.ABE</f>
        <v>#REF!</v>
      </c>
      <c r="M23" t="e">
        <f>[1]!CSNA3.FEC</f>
        <v>#REF!</v>
      </c>
      <c r="O23" t="e">
        <f t="shared" si="0"/>
        <v>#VALUE!</v>
      </c>
    </row>
    <row r="24" spans="1:15" x14ac:dyDescent="0.25">
      <c r="A24" t="s">
        <v>14</v>
      </c>
      <c r="B24" t="e">
        <f>[1]!CTIP3.NOM</f>
        <v>#REF!</v>
      </c>
      <c r="C24" t="e">
        <f>[1]!CTIP3.ULT</f>
        <v>#REF!</v>
      </c>
      <c r="D24" t="e">
        <f>[1]!CTIP3.VAR</f>
        <v>#REF!</v>
      </c>
      <c r="E24" t="e">
        <f>[1]!CTIP3.HOR</f>
        <v>#REF!</v>
      </c>
      <c r="F24" t="e">
        <f>[1]!CTIP3.OCP</f>
        <v>#REF!</v>
      </c>
      <c r="G24" t="e">
        <f>[1]!CTIP3.OVD</f>
        <v>#REF!</v>
      </c>
      <c r="H24" t="e">
        <f>[1]!CTIP3.NEG</f>
        <v>#REF!</v>
      </c>
      <c r="I24" t="e">
        <f>[1]!CTIP3.QTT</f>
        <v>#REF!</v>
      </c>
      <c r="J24" t="e">
        <f>[1]!CTIP3.MIN</f>
        <v>#REF!</v>
      </c>
      <c r="K24" t="e">
        <f>[1]!CTIP3.MAX</f>
        <v>#REF!</v>
      </c>
      <c r="L24" t="e">
        <f>[1]!CTIP3.ABE</f>
        <v>#REF!</v>
      </c>
      <c r="M24" t="e">
        <f>[1]!CTIP3.FEC</f>
        <v>#REF!</v>
      </c>
      <c r="O24" t="e">
        <f t="shared" si="0"/>
        <v>#VALUE!</v>
      </c>
    </row>
    <row r="25" spans="1:15" x14ac:dyDescent="0.25">
      <c r="A25" t="s">
        <v>20</v>
      </c>
      <c r="B25" t="e">
        <f>[1]!CYRE3.NOM</f>
        <v>#REF!</v>
      </c>
      <c r="C25" t="e">
        <f>[1]!CYRE3.ULT</f>
        <v>#REF!</v>
      </c>
      <c r="D25" t="e">
        <f>[1]!CYRE3.VAR</f>
        <v>#REF!</v>
      </c>
      <c r="E25" t="e">
        <f>[1]!CYRE3.HOR</f>
        <v>#REF!</v>
      </c>
      <c r="F25" t="e">
        <f>[1]!CYRE3.OCP</f>
        <v>#REF!</v>
      </c>
      <c r="G25" t="e">
        <f>[1]!CYRE3.OVD</f>
        <v>#REF!</v>
      </c>
      <c r="H25" t="e">
        <f>[1]!CYRE3.NEG</f>
        <v>#REF!</v>
      </c>
      <c r="I25" t="e">
        <f>[1]!CYRE3.QTT</f>
        <v>#REF!</v>
      </c>
      <c r="J25" t="e">
        <f>[1]!CYRE3.MIN</f>
        <v>#REF!</v>
      </c>
      <c r="K25" t="e">
        <f>[1]!CYRE3.MAX</f>
        <v>#REF!</v>
      </c>
      <c r="L25" t="e">
        <f>[1]!CYRE3.ABE</f>
        <v>#REF!</v>
      </c>
      <c r="M25" t="e">
        <f>[1]!CYRE3.FEC</f>
        <v>#REF!</v>
      </c>
      <c r="O25" t="e">
        <f t="shared" si="0"/>
        <v>#VALUE!</v>
      </c>
    </row>
    <row r="26" spans="1:15" x14ac:dyDescent="0.25">
      <c r="A26" t="s">
        <v>67</v>
      </c>
      <c r="B26" t="e">
        <f>[1]!DASA3.NOM</f>
        <v>#REF!</v>
      </c>
      <c r="C26" t="e">
        <f>[1]!DASA3.ULT</f>
        <v>#REF!</v>
      </c>
      <c r="D26" t="e">
        <f>[1]!DASA3.VAR</f>
        <v>#REF!</v>
      </c>
      <c r="E26" t="e">
        <f>[1]!DASA3.HOR</f>
        <v>#REF!</v>
      </c>
      <c r="F26" t="e">
        <f>[1]!DASA3.OCP</f>
        <v>#REF!</v>
      </c>
      <c r="G26" t="e">
        <f>[1]!DASA3.OVD</f>
        <v>#REF!</v>
      </c>
      <c r="H26" t="e">
        <f>[1]!DASA3.NEG</f>
        <v>#REF!</v>
      </c>
      <c r="I26" t="e">
        <f>[1]!DASA3.QTT</f>
        <v>#REF!</v>
      </c>
      <c r="J26" t="e">
        <f>[1]!DASA3.MIN</f>
        <v>#REF!</v>
      </c>
      <c r="K26" t="e">
        <f>[1]!DASA3.MAX</f>
        <v>#REF!</v>
      </c>
      <c r="L26" t="e">
        <f>[1]!DASA3.ABE</f>
        <v>#REF!</v>
      </c>
      <c r="M26" t="e">
        <f>[1]!DASA3.FEC</f>
        <v>#REF!</v>
      </c>
      <c r="O26" t="e">
        <f t="shared" si="0"/>
        <v>#VALUE!</v>
      </c>
    </row>
    <row r="27" spans="1:15" x14ac:dyDescent="0.25">
      <c r="A27" t="s">
        <v>21</v>
      </c>
      <c r="B27" t="e">
        <f>[1]!DTEX3.NOM</f>
        <v>#REF!</v>
      </c>
      <c r="C27" t="e">
        <f>[1]!DTEX3.ULT</f>
        <v>#REF!</v>
      </c>
      <c r="D27" t="e">
        <f>[1]!DTEX3.VAR</f>
        <v>#REF!</v>
      </c>
      <c r="E27" t="e">
        <f>[1]!DTEX3.HOR</f>
        <v>#REF!</v>
      </c>
      <c r="F27" t="e">
        <f>[1]!DTEX3.OCP</f>
        <v>#REF!</v>
      </c>
      <c r="G27" t="e">
        <f>[1]!DTEX3.OVD</f>
        <v>#REF!</v>
      </c>
      <c r="H27" t="e">
        <f>[1]!DTEX3.NEG</f>
        <v>#REF!</v>
      </c>
      <c r="I27" t="e">
        <f>[1]!DTEX3.QTT</f>
        <v>#REF!</v>
      </c>
      <c r="J27" t="e">
        <f>[1]!DTEX3.MIN</f>
        <v>#REF!</v>
      </c>
      <c r="K27" t="e">
        <f>[1]!DTEX3.MAX</f>
        <v>#REF!</v>
      </c>
      <c r="L27" t="e">
        <f>[1]!DTEX3.ABE</f>
        <v>#REF!</v>
      </c>
      <c r="M27" t="e">
        <f>[1]!DTEX3.FEC</f>
        <v>#REF!</v>
      </c>
      <c r="O27" t="e">
        <f t="shared" si="0"/>
        <v>#VALUE!</v>
      </c>
    </row>
    <row r="28" spans="1:15" x14ac:dyDescent="0.25">
      <c r="A28" t="s">
        <v>22</v>
      </c>
      <c r="B28" t="e">
        <f>[1]!ECOR3.NOM</f>
        <v>#REF!</v>
      </c>
      <c r="C28" t="e">
        <f>[1]!ECOR3.ULT</f>
        <v>#REF!</v>
      </c>
      <c r="D28" t="e">
        <f>[1]!ECOR3.VAR</f>
        <v>#REF!</v>
      </c>
      <c r="E28" t="e">
        <f>[1]!ECOR3.HOR</f>
        <v>#REF!</v>
      </c>
      <c r="F28" t="e">
        <f>[1]!ECOR3.OCP</f>
        <v>#REF!</v>
      </c>
      <c r="G28" t="e">
        <f>[1]!ECOR3.OVD</f>
        <v>#REF!</v>
      </c>
      <c r="H28" t="e">
        <f>[1]!ECOR3.NEG</f>
        <v>#REF!</v>
      </c>
      <c r="I28" t="e">
        <f>[1]!ECOR3.QTT</f>
        <v>#REF!</v>
      </c>
      <c r="J28" t="e">
        <f>[1]!ECOR3.MIN</f>
        <v>#REF!</v>
      </c>
      <c r="K28" t="e">
        <f>[1]!ECOR3.MAX</f>
        <v>#REF!</v>
      </c>
      <c r="L28" t="e">
        <f>[1]!ECOR3.ABE</f>
        <v>#REF!</v>
      </c>
      <c r="M28" t="e">
        <f>[1]!ECOR3.FEC</f>
        <v>#REF!</v>
      </c>
      <c r="O28" t="e">
        <f t="shared" si="0"/>
        <v>#VALUE!</v>
      </c>
    </row>
    <row r="29" spans="1:15" x14ac:dyDescent="0.25">
      <c r="A29" t="s">
        <v>23</v>
      </c>
      <c r="B29" t="e">
        <f>[1]!ELET3.NOM</f>
        <v>#REF!</v>
      </c>
      <c r="C29" t="e">
        <f>[1]!ELET3.ULT</f>
        <v>#REF!</v>
      </c>
      <c r="D29" t="e">
        <f>[1]!ELET3.VAR</f>
        <v>#REF!</v>
      </c>
      <c r="E29" t="e">
        <f>[1]!ELET3.HOR</f>
        <v>#REF!</v>
      </c>
      <c r="F29" t="e">
        <f>[1]!ELET3.OCP</f>
        <v>#REF!</v>
      </c>
      <c r="G29" t="e">
        <f>[1]!ELET3.OVD</f>
        <v>#REF!</v>
      </c>
      <c r="H29" t="e">
        <f>[1]!ELET3.NEG</f>
        <v>#REF!</v>
      </c>
      <c r="I29" t="e">
        <f>[1]!ELET3.QTT</f>
        <v>#REF!</v>
      </c>
      <c r="J29" t="e">
        <f>[1]!ELET3.MIN</f>
        <v>#REF!</v>
      </c>
      <c r="K29" t="e">
        <f>[1]!ELET3.MAX</f>
        <v>#REF!</v>
      </c>
      <c r="L29" t="e">
        <f>[1]!ELET3.ABE</f>
        <v>#REF!</v>
      </c>
      <c r="M29" t="e">
        <f>[1]!ELET3.FEC</f>
        <v>#REF!</v>
      </c>
      <c r="O29" t="e">
        <f t="shared" si="0"/>
        <v>#VALUE!</v>
      </c>
    </row>
    <row r="30" spans="1:15" x14ac:dyDescent="0.25">
      <c r="A30" t="s">
        <v>24</v>
      </c>
      <c r="B30" t="e">
        <f>[1]!ELET6.NOM</f>
        <v>#REF!</v>
      </c>
      <c r="C30" t="e">
        <f>[1]!ELET6.ULT</f>
        <v>#REF!</v>
      </c>
      <c r="D30" t="e">
        <f>[1]!ELET6.VAR</f>
        <v>#REF!</v>
      </c>
      <c r="E30" t="e">
        <f>[1]!ELET6.HOR</f>
        <v>#REF!</v>
      </c>
      <c r="F30" t="e">
        <f>[1]!ELET6.OCP</f>
        <v>#REF!</v>
      </c>
      <c r="G30" t="e">
        <f>[1]!ELET6.OVD</f>
        <v>#REF!</v>
      </c>
      <c r="H30" t="e">
        <f>[1]!ELET6.NEG</f>
        <v>#REF!</v>
      </c>
      <c r="I30" t="e">
        <f>[1]!ELET6.QTT</f>
        <v>#REF!</v>
      </c>
      <c r="J30" t="e">
        <f>[1]!ELET6.MIN</f>
        <v>#REF!</v>
      </c>
      <c r="K30" t="e">
        <f>[1]!ELET6.MAX</f>
        <v>#REF!</v>
      </c>
      <c r="L30" t="e">
        <f>[1]!ELET6.ABE</f>
        <v>#REF!</v>
      </c>
      <c r="M30" t="e">
        <f>[1]!ELET6.FEC</f>
        <v>#REF!</v>
      </c>
      <c r="O30" t="e">
        <f t="shared" si="0"/>
        <v>#VALUE!</v>
      </c>
    </row>
    <row r="31" spans="1:15" x14ac:dyDescent="0.25">
      <c r="A31" t="s">
        <v>25</v>
      </c>
      <c r="B31" t="e">
        <f>[1]!ELPL4.NOM</f>
        <v>#REF!</v>
      </c>
      <c r="C31" t="e">
        <f>[1]!ELPL4.ULT</f>
        <v>#REF!</v>
      </c>
      <c r="D31" t="e">
        <f>[1]!ELPL4.VAR</f>
        <v>#REF!</v>
      </c>
      <c r="E31" t="e">
        <f>[1]!ELPL4.HOR</f>
        <v>#REF!</v>
      </c>
      <c r="F31" t="e">
        <f>[1]!ELPL4.OCP</f>
        <v>#REF!</v>
      </c>
      <c r="G31" t="e">
        <f>[1]!ELPL4.OVD</f>
        <v>#REF!</v>
      </c>
      <c r="H31" t="e">
        <f>[1]!ELPL4.NEG</f>
        <v>#REF!</v>
      </c>
      <c r="I31" t="e">
        <f>[1]!ELPL4.QTT</f>
        <v>#REF!</v>
      </c>
      <c r="J31" t="e">
        <f>[1]!ELPL4.MIN</f>
        <v>#REF!</v>
      </c>
      <c r="K31" t="e">
        <f>[1]!ELPL4.MAX</f>
        <v>#REF!</v>
      </c>
      <c r="L31" t="e">
        <f>[1]!ELPL4.ABE</f>
        <v>#REF!</v>
      </c>
      <c r="M31" t="e">
        <f>[1]!ELPL4.FEC</f>
        <v>#REF!</v>
      </c>
      <c r="O31" t="e">
        <f t="shared" si="0"/>
        <v>#VALUE!</v>
      </c>
    </row>
    <row r="32" spans="1:15" x14ac:dyDescent="0.25">
      <c r="A32" t="s">
        <v>26</v>
      </c>
      <c r="B32" t="e">
        <f>[1]!EMBR3.NOM</f>
        <v>#REF!</v>
      </c>
      <c r="C32" t="e">
        <f>[1]!EMBR3.ULT</f>
        <v>#REF!</v>
      </c>
      <c r="D32" t="e">
        <f>[1]!EMBR3.VAR</f>
        <v>#REF!</v>
      </c>
      <c r="E32" t="e">
        <f>[1]!EMBR3.HOR</f>
        <v>#REF!</v>
      </c>
      <c r="F32" t="e">
        <f>[1]!EMBR3.OCP</f>
        <v>#REF!</v>
      </c>
      <c r="G32" t="e">
        <f>[1]!EMBR3.OVD</f>
        <v>#REF!</v>
      </c>
      <c r="H32" t="e">
        <f>[1]!EMBR3.NEG</f>
        <v>#REF!</v>
      </c>
      <c r="I32" t="e">
        <f>[1]!EMBR3.QTT</f>
        <v>#REF!</v>
      </c>
      <c r="J32" t="e">
        <f>[1]!EMBR3.MIN</f>
        <v>#REF!</v>
      </c>
      <c r="K32" t="e">
        <f>[1]!EMBR3.MAX</f>
        <v>#REF!</v>
      </c>
      <c r="L32" t="e">
        <f>[1]!EMBR3.ABE</f>
        <v>#REF!</v>
      </c>
      <c r="M32" t="e">
        <f>[1]!EMBR3.FEC</f>
        <v>#REF!</v>
      </c>
      <c r="O32" t="e">
        <f t="shared" si="0"/>
        <v>#VALUE!</v>
      </c>
    </row>
    <row r="33" spans="1:15" x14ac:dyDescent="0.25">
      <c r="A33" t="s">
        <v>27</v>
      </c>
      <c r="B33" t="e">
        <f>[1]!ENBR3.NOM</f>
        <v>#REF!</v>
      </c>
      <c r="C33" t="e">
        <f>[1]!ENBR3.ULT</f>
        <v>#REF!</v>
      </c>
      <c r="D33" t="e">
        <f>[1]!ENBR3.VAR</f>
        <v>#REF!</v>
      </c>
      <c r="E33" t="e">
        <f>[1]!ENBR3.HOR</f>
        <v>#REF!</v>
      </c>
      <c r="F33" t="e">
        <f>[1]!ENBR3.OCP</f>
        <v>#REF!</v>
      </c>
      <c r="G33" t="e">
        <f>[1]!ENBR3.OVD</f>
        <v>#REF!</v>
      </c>
      <c r="H33" t="e">
        <f>[1]!ENBR3.NEG</f>
        <v>#REF!</v>
      </c>
      <c r="I33" t="e">
        <f>[1]!ENBR3.QTT</f>
        <v>#REF!</v>
      </c>
      <c r="J33" t="e">
        <f>[1]!ENBR3.MIN</f>
        <v>#REF!</v>
      </c>
      <c r="K33" t="e">
        <f>[1]!ENBR3.MAX</f>
        <v>#REF!</v>
      </c>
      <c r="L33" t="e">
        <f>[1]!ENBR3.ABE</f>
        <v>#REF!</v>
      </c>
      <c r="M33" t="e">
        <f>[1]!ENBR3.FEC</f>
        <v>#REF!</v>
      </c>
      <c r="O33" t="e">
        <f t="shared" si="0"/>
        <v>#VALUE!</v>
      </c>
    </row>
    <row r="34" spans="1:15" x14ac:dyDescent="0.25">
      <c r="A34" t="s">
        <v>28</v>
      </c>
      <c r="B34" t="e">
        <f>[1]!ESTC3.NOM</f>
        <v>#REF!</v>
      </c>
      <c r="C34" t="e">
        <f>[1]!ESTC3.ULT</f>
        <v>#REF!</v>
      </c>
      <c r="D34" t="e">
        <f>[1]!ESTC3.VAR</f>
        <v>#REF!</v>
      </c>
      <c r="E34" t="e">
        <f>[1]!ESTC3.HOR</f>
        <v>#REF!</v>
      </c>
      <c r="F34" t="e">
        <f>[1]!ESTC3.OCP</f>
        <v>#REF!</v>
      </c>
      <c r="G34" t="e">
        <f>[1]!ESTC3.OVD</f>
        <v>#REF!</v>
      </c>
      <c r="H34" t="e">
        <f>[1]!ESTC3.NEG</f>
        <v>#REF!</v>
      </c>
      <c r="I34" t="e">
        <f>[1]!ESTC3.QTT</f>
        <v>#REF!</v>
      </c>
      <c r="J34" t="e">
        <f>[1]!ESTC3.MIN</f>
        <v>#REF!</v>
      </c>
      <c r="K34" t="e">
        <f>[1]!ESTC3.MAX</f>
        <v>#REF!</v>
      </c>
      <c r="L34" t="e">
        <f>[1]!ESTC3.ABE</f>
        <v>#REF!</v>
      </c>
      <c r="M34" t="e">
        <f>[1]!ESTC3.FEC</f>
        <v>#REF!</v>
      </c>
      <c r="O34" t="e">
        <f t="shared" si="0"/>
        <v>#VALUE!</v>
      </c>
    </row>
    <row r="35" spans="1:15" x14ac:dyDescent="0.25">
      <c r="A35" t="s">
        <v>29</v>
      </c>
      <c r="B35" t="e">
        <f>[1]!EVEN3.NOM</f>
        <v>#REF!</v>
      </c>
      <c r="C35" t="e">
        <f>[1]!EVEN3.ULT</f>
        <v>#REF!</v>
      </c>
      <c r="D35" t="e">
        <f>[1]!EVEN3.VAR</f>
        <v>#REF!</v>
      </c>
      <c r="E35" t="e">
        <f>[1]!EVEN3.HOR</f>
        <v>#REF!</v>
      </c>
      <c r="F35" t="e">
        <f>[1]!EVEN3.OCP</f>
        <v>#REF!</v>
      </c>
      <c r="G35" t="e">
        <f>[1]!EVEN3.OVD</f>
        <v>#REF!</v>
      </c>
      <c r="H35" t="e">
        <f>[1]!EVEN3.NEG</f>
        <v>#REF!</v>
      </c>
      <c r="I35" t="e">
        <f>[1]!EVEN3.QTT</f>
        <v>#REF!</v>
      </c>
      <c r="J35" t="e">
        <f>[1]!EVEN3.MIN</f>
        <v>#REF!</v>
      </c>
      <c r="K35" t="e">
        <f>[1]!EVEN3.MAX</f>
        <v>#REF!</v>
      </c>
      <c r="L35" t="e">
        <f>[1]!EVEN3.ABE</f>
        <v>#REF!</v>
      </c>
      <c r="M35" t="e">
        <f>[1]!EVEN3.FEC</f>
        <v>#REF!</v>
      </c>
      <c r="O35" t="e">
        <f t="shared" si="0"/>
        <v>#VALUE!</v>
      </c>
    </row>
    <row r="36" spans="1:15" x14ac:dyDescent="0.25">
      <c r="A36" t="s">
        <v>30</v>
      </c>
      <c r="B36" t="e">
        <f>[1]!FIBR3.NOM</f>
        <v>#REF!</v>
      </c>
      <c r="C36" t="e">
        <f>[1]!FIBR3.ULT</f>
        <v>#REF!</v>
      </c>
      <c r="D36" t="e">
        <f>[1]!FIBR3.VAR</f>
        <v>#REF!</v>
      </c>
      <c r="E36" t="e">
        <f>[1]!FIBR3.HOR</f>
        <v>#REF!</v>
      </c>
      <c r="F36" t="e">
        <f>[1]!FIBR3.OCP</f>
        <v>#REF!</v>
      </c>
      <c r="G36" t="e">
        <f>[1]!FIBR3.OVD</f>
        <v>#REF!</v>
      </c>
      <c r="H36" t="e">
        <f>[1]!FIBR3.NEG</f>
        <v>#REF!</v>
      </c>
      <c r="I36" t="e">
        <f>[1]!FIBR3.QTT</f>
        <v>#REF!</v>
      </c>
      <c r="J36" t="e">
        <f>[1]!FIBR3.MIN</f>
        <v>#REF!</v>
      </c>
      <c r="K36" t="e">
        <f>[1]!FIBR3.MAX</f>
        <v>#REF!</v>
      </c>
      <c r="L36" t="e">
        <f>[1]!FIBR3.ABE</f>
        <v>#REF!</v>
      </c>
      <c r="M36" t="e">
        <f>[1]!FIBR3.FEC</f>
        <v>#REF!</v>
      </c>
      <c r="O36" t="e">
        <f t="shared" si="0"/>
        <v>#VALUE!</v>
      </c>
    </row>
    <row r="37" spans="1:15" x14ac:dyDescent="0.25">
      <c r="A37" t="s">
        <v>31</v>
      </c>
      <c r="B37" t="e">
        <f>[1]!GFSA3.NOM</f>
        <v>#REF!</v>
      </c>
      <c r="C37" t="e">
        <f>[1]!GFSA3.ULT</f>
        <v>#REF!</v>
      </c>
      <c r="D37" t="e">
        <f>[1]!GFSA3.VAR</f>
        <v>#REF!</v>
      </c>
      <c r="E37" t="e">
        <f>[1]!GFSA3.HOR</f>
        <v>#REF!</v>
      </c>
      <c r="F37" t="e">
        <f>[1]!GFSA3.OCP</f>
        <v>#REF!</v>
      </c>
      <c r="G37" t="e">
        <f>[1]!GFSA3.OVD</f>
        <v>#REF!</v>
      </c>
      <c r="H37" t="e">
        <f>[1]!GFSA3.NEG</f>
        <v>#REF!</v>
      </c>
      <c r="I37" t="e">
        <f>[1]!GFSA3.QTT</f>
        <v>#REF!</v>
      </c>
      <c r="J37" t="e">
        <f>[1]!GFSA3.MIN</f>
        <v>#REF!</v>
      </c>
      <c r="K37" t="e">
        <f>[1]!GFSA3.MAX</f>
        <v>#REF!</v>
      </c>
      <c r="L37" t="e">
        <f>[1]!GFSA3.ABE</f>
        <v>#REF!</v>
      </c>
      <c r="M37" t="e">
        <f>[1]!GFSA3.FEC</f>
        <v>#REF!</v>
      </c>
      <c r="O37" t="e">
        <f t="shared" si="0"/>
        <v>#VALUE!</v>
      </c>
    </row>
    <row r="38" spans="1:15" x14ac:dyDescent="0.25">
      <c r="A38" t="s">
        <v>32</v>
      </c>
      <c r="B38" t="e">
        <f>[1]!GGBR4.NOM</f>
        <v>#REF!</v>
      </c>
      <c r="C38" t="e">
        <f>[1]!GGBR4.ULT</f>
        <v>#REF!</v>
      </c>
      <c r="D38" t="e">
        <f>[1]!GGBR4.VAR</f>
        <v>#REF!</v>
      </c>
      <c r="E38" t="e">
        <f>[1]!GGBR4.HOR</f>
        <v>#REF!</v>
      </c>
      <c r="F38" t="e">
        <f>[1]!GGBR4.OCP</f>
        <v>#REF!</v>
      </c>
      <c r="G38" t="e">
        <f>[1]!GGBR4.OVD</f>
        <v>#REF!</v>
      </c>
      <c r="H38" t="e">
        <f>[1]!GGBR4.NEG</f>
        <v>#REF!</v>
      </c>
      <c r="I38" t="e">
        <f>[1]!GGBR4.QTT</f>
        <v>#REF!</v>
      </c>
      <c r="J38" t="e">
        <f>[1]!GGBR4.MIN</f>
        <v>#REF!</v>
      </c>
      <c r="K38" t="e">
        <f>[1]!GGBR4.MAX</f>
        <v>#REF!</v>
      </c>
      <c r="L38" t="e">
        <f>[1]!GGBR4.ABE</f>
        <v>#REF!</v>
      </c>
      <c r="M38" t="e">
        <f>[1]!GGBR4.FEC</f>
        <v>#REF!</v>
      </c>
      <c r="O38" t="e">
        <f t="shared" si="0"/>
        <v>#VALUE!</v>
      </c>
    </row>
    <row r="39" spans="1:15" x14ac:dyDescent="0.25">
      <c r="A39" t="s">
        <v>33</v>
      </c>
      <c r="B39" t="e">
        <f>[1]!GOAU4.NOM</f>
        <v>#REF!</v>
      </c>
      <c r="C39" t="e">
        <f>[1]!GOAU4.ULT</f>
        <v>#REF!</v>
      </c>
      <c r="D39" t="e">
        <f>[1]!GOAU4.VAR</f>
        <v>#REF!</v>
      </c>
      <c r="E39" t="e">
        <f>[1]!GOAU4.HOR</f>
        <v>#REF!</v>
      </c>
      <c r="F39" t="e">
        <f>[1]!GOAU4.OCP</f>
        <v>#REF!</v>
      </c>
      <c r="G39" t="e">
        <f>[1]!GOAU4.OVD</f>
        <v>#REF!</v>
      </c>
      <c r="H39" t="e">
        <f>[1]!GOAU4.NEG</f>
        <v>#REF!</v>
      </c>
      <c r="I39" t="e">
        <f>[1]!GOAU4.QTT</f>
        <v>#REF!</v>
      </c>
      <c r="J39" t="e">
        <f>[1]!GOAU4.MIN</f>
        <v>#REF!</v>
      </c>
      <c r="K39" t="e">
        <f>[1]!GOAU4.MAX</f>
        <v>#REF!</v>
      </c>
      <c r="L39" t="e">
        <f>[1]!GOAU4.ABE</f>
        <v>#REF!</v>
      </c>
      <c r="M39" t="e">
        <f>[1]!GOAU4.FEC</f>
        <v>#REF!</v>
      </c>
      <c r="O39" t="e">
        <f t="shared" si="0"/>
        <v>#VALUE!</v>
      </c>
    </row>
    <row r="40" spans="1:15" x14ac:dyDescent="0.25">
      <c r="A40" t="s">
        <v>34</v>
      </c>
      <c r="B40" t="e">
        <f>[1]!GOLL4.NOM</f>
        <v>#REF!</v>
      </c>
      <c r="C40" t="e">
        <f>[1]!GOLL4.ULT</f>
        <v>#REF!</v>
      </c>
      <c r="D40" t="e">
        <f>[1]!GOLL4.VAR</f>
        <v>#REF!</v>
      </c>
      <c r="E40" t="e">
        <f>[1]!GOLL4.HOR</f>
        <v>#REF!</v>
      </c>
      <c r="F40" t="e">
        <f>[1]!GOLL4.OCP</f>
        <v>#REF!</v>
      </c>
      <c r="G40" t="e">
        <f>[1]!GOLL4.OVD</f>
        <v>#REF!</v>
      </c>
      <c r="H40" t="e">
        <f>[1]!GOLL4.NEG</f>
        <v>#REF!</v>
      </c>
      <c r="I40" t="e">
        <f>[1]!GOLL4.QTT</f>
        <v>#REF!</v>
      </c>
      <c r="J40" t="e">
        <f>[1]!GOLL4.MIN</f>
        <v>#REF!</v>
      </c>
      <c r="K40" t="e">
        <f>[1]!GOLL4.MAX</f>
        <v>#REF!</v>
      </c>
      <c r="L40" t="e">
        <f>[1]!GOLL4.ABE</f>
        <v>#REF!</v>
      </c>
      <c r="M40" t="e">
        <f>[1]!GOLL4.FEC</f>
        <v>#REF!</v>
      </c>
      <c r="O40" t="e">
        <f t="shared" si="0"/>
        <v>#VALUE!</v>
      </c>
    </row>
    <row r="41" spans="1:15" x14ac:dyDescent="0.25">
      <c r="A41" t="s">
        <v>15</v>
      </c>
      <c r="B41" t="e">
        <f>[1]!HGTX3.NOM</f>
        <v>#REF!</v>
      </c>
      <c r="C41" t="e">
        <f>[1]!HGTX3.ULT</f>
        <v>#REF!</v>
      </c>
      <c r="D41" t="e">
        <f>[1]!HGTX3.VAR</f>
        <v>#REF!</v>
      </c>
      <c r="E41" t="e">
        <f>[1]!HGTX3.HOR</f>
        <v>#REF!</v>
      </c>
      <c r="F41" t="e">
        <f>[1]!HGTX3.OCP</f>
        <v>#REF!</v>
      </c>
      <c r="G41" t="e">
        <f>[1]!HGTX3.OVD</f>
        <v>#REF!</v>
      </c>
      <c r="H41" t="e">
        <f>[1]!HGTX3.NEG</f>
        <v>#REF!</v>
      </c>
      <c r="I41" t="e">
        <f>[1]!HGTX3.QTT</f>
        <v>#REF!</v>
      </c>
      <c r="J41" t="e">
        <f>[1]!HGTX3.MIN</f>
        <v>#REF!</v>
      </c>
      <c r="K41" t="e">
        <f>[1]!HGTX3.MAX</f>
        <v>#REF!</v>
      </c>
      <c r="L41" t="e">
        <f>[1]!HGTX3.ABE</f>
        <v>#REF!</v>
      </c>
      <c r="M41" t="e">
        <f>[1]!HGTX3.FEC</f>
        <v>#REF!</v>
      </c>
      <c r="O41" t="e">
        <f>DPTrackCell(A41, C41)</f>
        <v>#VALUE!</v>
      </c>
    </row>
    <row r="42" spans="1:15" x14ac:dyDescent="0.25">
      <c r="A42" t="s">
        <v>35</v>
      </c>
      <c r="B42" t="e">
        <f>[1]!HYPE3.NOM</f>
        <v>#REF!</v>
      </c>
      <c r="C42" t="e">
        <f>[1]!HYPE3.ULT</f>
        <v>#REF!</v>
      </c>
      <c r="D42" t="e">
        <f>[1]!HYPE3.VAR</f>
        <v>#REF!</v>
      </c>
      <c r="E42" t="e">
        <f>[1]!HYPE3.HOR</f>
        <v>#REF!</v>
      </c>
      <c r="F42" t="e">
        <f>[1]!HYPE3.OCP</f>
        <v>#REF!</v>
      </c>
      <c r="G42" t="e">
        <f>[1]!HYPE3.OVD</f>
        <v>#REF!</v>
      </c>
      <c r="H42" t="e">
        <f>[1]!HYPE3.NEG</f>
        <v>#REF!</v>
      </c>
      <c r="I42" t="e">
        <f>[1]!HYPE3.QTT</f>
        <v>#REF!</v>
      </c>
      <c r="J42" t="e">
        <f>[1]!HYPE3.MIN</f>
        <v>#REF!</v>
      </c>
      <c r="K42" t="e">
        <f>[1]!HYPE3.MAX</f>
        <v>#REF!</v>
      </c>
      <c r="L42" t="e">
        <f>[1]!HYPE3.ABE</f>
        <v>#REF!</v>
      </c>
      <c r="M42" t="e">
        <f>[1]!HYPE3.FEC</f>
        <v>#REF!</v>
      </c>
      <c r="O42" t="e">
        <f t="shared" ref="O42:O72" si="1">DPTrackCell(A42, C42)</f>
        <v>#VALUE!</v>
      </c>
    </row>
    <row r="43" spans="1:15" x14ac:dyDescent="0.25">
      <c r="A43" t="s">
        <v>36</v>
      </c>
      <c r="B43" t="e">
        <f>[1]!ITSA4.NOM</f>
        <v>#REF!</v>
      </c>
      <c r="C43" t="e">
        <f>[1]!ITSA4.ULT</f>
        <v>#REF!</v>
      </c>
      <c r="D43" t="e">
        <f>[1]!ITSA4.VAR</f>
        <v>#REF!</v>
      </c>
      <c r="E43" t="e">
        <f>[1]!ITSA4.HOR</f>
        <v>#REF!</v>
      </c>
      <c r="F43" t="e">
        <f>[1]!ITSA4.OCP</f>
        <v>#REF!</v>
      </c>
      <c r="G43" t="e">
        <f>[1]!ITSA4.OVD</f>
        <v>#REF!</v>
      </c>
      <c r="H43" t="e">
        <f>[1]!ITSA4.NEG</f>
        <v>#REF!</v>
      </c>
      <c r="I43" t="e">
        <f>[1]!ITSA4.QTT</f>
        <v>#REF!</v>
      </c>
      <c r="J43" t="e">
        <f>[1]!ITSA4.MIN</f>
        <v>#REF!</v>
      </c>
      <c r="K43" t="e">
        <f>[1]!ITSA4.MAX</f>
        <v>#REF!</v>
      </c>
      <c r="L43" t="e">
        <f>[1]!ITSA4.ABE</f>
        <v>#REF!</v>
      </c>
      <c r="M43" t="e">
        <f>[1]!ITSA4.FEC</f>
        <v>#REF!</v>
      </c>
      <c r="O43" t="e">
        <f t="shared" si="1"/>
        <v>#VALUE!</v>
      </c>
    </row>
    <row r="44" spans="1:15" x14ac:dyDescent="0.25">
      <c r="A44" t="s">
        <v>37</v>
      </c>
      <c r="B44" t="e">
        <f>[1]!ITUB4.NOM</f>
        <v>#REF!</v>
      </c>
      <c r="C44" t="e">
        <f>[1]!ITUB4.ULT</f>
        <v>#REF!</v>
      </c>
      <c r="D44" t="e">
        <f>[1]!ITUB4.VAR</f>
        <v>#REF!</v>
      </c>
      <c r="E44" t="e">
        <f>[1]!ITUB4.HOR</f>
        <v>#REF!</v>
      </c>
      <c r="F44" t="e">
        <f>[1]!ITUB4.OCP</f>
        <v>#REF!</v>
      </c>
      <c r="G44" t="e">
        <f>[1]!ITUB4.OVD</f>
        <v>#REF!</v>
      </c>
      <c r="H44" t="e">
        <f>[1]!ITUB4.NEG</f>
        <v>#REF!</v>
      </c>
      <c r="I44" t="e">
        <f>[1]!ITUB4.QTT</f>
        <v>#REF!</v>
      </c>
      <c r="J44" t="e">
        <f>[1]!ITUB4.MIN</f>
        <v>#REF!</v>
      </c>
      <c r="K44" t="e">
        <f>[1]!ITUB4.MAX</f>
        <v>#REF!</v>
      </c>
      <c r="L44" t="e">
        <f>[1]!ITUB4.ABE</f>
        <v>#REF!</v>
      </c>
      <c r="M44" t="e">
        <f>[1]!ITUB4.FEC</f>
        <v>#REF!</v>
      </c>
      <c r="O44" t="e">
        <f t="shared" si="1"/>
        <v>#VALUE!</v>
      </c>
    </row>
    <row r="45" spans="1:15" x14ac:dyDescent="0.25">
      <c r="A45" t="s">
        <v>38</v>
      </c>
      <c r="B45" t="e">
        <f>[1]!JBSS3.NOM</f>
        <v>#REF!</v>
      </c>
      <c r="C45" t="e">
        <f>[1]!JBSS3.ULT</f>
        <v>#REF!</v>
      </c>
      <c r="D45" t="e">
        <f>[1]!JBSS3.VAR</f>
        <v>#REF!</v>
      </c>
      <c r="E45" t="e">
        <f>[1]!JBSS3.HOR</f>
        <v>#REF!</v>
      </c>
      <c r="F45" t="e">
        <f>[1]!JBSS3.OCP</f>
        <v>#REF!</v>
      </c>
      <c r="G45" t="e">
        <f>[1]!JBSS3.OVD</f>
        <v>#REF!</v>
      </c>
      <c r="H45" t="e">
        <f>[1]!JBSS3.NEG</f>
        <v>#REF!</v>
      </c>
      <c r="I45" t="e">
        <f>[1]!JBSS3.QTT</f>
        <v>#REF!</v>
      </c>
      <c r="J45" t="e">
        <f>[1]!JBSS3.MIN</f>
        <v>#REF!</v>
      </c>
      <c r="K45" t="e">
        <f>[1]!JBSS3.MAX</f>
        <v>#REF!</v>
      </c>
      <c r="L45" t="e">
        <f>[1]!JBSS3.ABE</f>
        <v>#REF!</v>
      </c>
      <c r="M45" t="e">
        <f>[1]!JBSS3.FEC</f>
        <v>#REF!</v>
      </c>
      <c r="O45" t="e">
        <f t="shared" si="1"/>
        <v>#VALUE!</v>
      </c>
    </row>
    <row r="46" spans="1:15" x14ac:dyDescent="0.25">
      <c r="A46" t="s">
        <v>68</v>
      </c>
      <c r="B46" t="e">
        <f>[1]!KLBN4.NOM</f>
        <v>#REF!</v>
      </c>
      <c r="C46" t="e">
        <f>[1]!KLBN4.ULT</f>
        <v>#REF!</v>
      </c>
      <c r="D46" t="e">
        <f>[1]!KLBN4.VAR</f>
        <v>#REF!</v>
      </c>
      <c r="E46" t="e">
        <f>[1]!KLBN4.HOR</f>
        <v>#REF!</v>
      </c>
      <c r="F46" t="e">
        <f>[1]!KLBN4.OCP</f>
        <v>#REF!</v>
      </c>
      <c r="G46" t="e">
        <f>[1]!KLBN4.OVD</f>
        <v>#REF!</v>
      </c>
      <c r="H46" t="e">
        <f>[1]!KLBN4.NEG</f>
        <v>#REF!</v>
      </c>
      <c r="I46" t="e">
        <f>[1]!KLBN4.QTT</f>
        <v>#REF!</v>
      </c>
      <c r="J46" t="e">
        <f>[1]!KLBN4.MIN</f>
        <v>#REF!</v>
      </c>
      <c r="K46" t="e">
        <f>[1]!KLBN4.MAX</f>
        <v>#REF!</v>
      </c>
      <c r="L46" t="e">
        <f>[1]!KLBN4.ABE</f>
        <v>#REF!</v>
      </c>
      <c r="M46" t="e">
        <f>[1]!KLBN4.FEC</f>
        <v>#REF!</v>
      </c>
      <c r="O46" t="e">
        <f t="shared" si="1"/>
        <v>#VALUE!</v>
      </c>
    </row>
    <row r="47" spans="1:15" x14ac:dyDescent="0.25">
      <c r="A47" t="s">
        <v>39</v>
      </c>
      <c r="B47" t="e">
        <f>[1]!KROT3.NOM</f>
        <v>#REF!</v>
      </c>
      <c r="C47" t="e">
        <f>[1]!KROT3.ULT</f>
        <v>#REF!</v>
      </c>
      <c r="D47" t="e">
        <f>[1]!KROT3.VAR</f>
        <v>#REF!</v>
      </c>
      <c r="E47" t="e">
        <f>[1]!KROT3.HOR</f>
        <v>#REF!</v>
      </c>
      <c r="F47" t="e">
        <f>[1]!KROT3.OCP</f>
        <v>#REF!</v>
      </c>
      <c r="G47" t="e">
        <f>[1]!KROT3.OVD</f>
        <v>#REF!</v>
      </c>
      <c r="H47" t="e">
        <f>[1]!KROT3.NEG</f>
        <v>#REF!</v>
      </c>
      <c r="I47" t="e">
        <f>[1]!KROT3.QTT</f>
        <v>#REF!</v>
      </c>
      <c r="J47" t="e">
        <f>[1]!KROT3.MIN</f>
        <v>#REF!</v>
      </c>
      <c r="K47" t="e">
        <f>[1]!KROT3.MAX</f>
        <v>#REF!</v>
      </c>
      <c r="L47" t="e">
        <f>[1]!KROT3.ABE</f>
        <v>#REF!</v>
      </c>
      <c r="M47" t="e">
        <f>[1]!KROT3.FEC</f>
        <v>#REF!</v>
      </c>
      <c r="O47" t="e">
        <f t="shared" si="1"/>
        <v>#VALUE!</v>
      </c>
    </row>
    <row r="48" spans="1:15" x14ac:dyDescent="0.25">
      <c r="A48" t="s">
        <v>42</v>
      </c>
      <c r="B48" t="e">
        <f>[1]!LAME4.NOM</f>
        <v>#REF!</v>
      </c>
      <c r="C48" t="e">
        <f>[1]!LAME4.ULT</f>
        <v>#REF!</v>
      </c>
      <c r="D48" t="e">
        <f>[1]!LAME4.VAR</f>
        <v>#REF!</v>
      </c>
      <c r="E48" t="e">
        <f>[1]!LAME4.HOR</f>
        <v>#REF!</v>
      </c>
      <c r="F48" t="e">
        <f>[1]!LAME4.OCP</f>
        <v>#REF!</v>
      </c>
      <c r="G48" t="e">
        <f>[1]!LAME4.OVD</f>
        <v>#REF!</v>
      </c>
      <c r="H48" t="e">
        <f>[1]!LAME4.NEG</f>
        <v>#REF!</v>
      </c>
      <c r="I48" t="e">
        <f>[1]!LAME4.QTT</f>
        <v>#REF!</v>
      </c>
      <c r="J48" t="e">
        <f>[1]!LAME4.MIN</f>
        <v>#REF!</v>
      </c>
      <c r="K48" t="e">
        <f>[1]!LAME4.MAX</f>
        <v>#REF!</v>
      </c>
      <c r="L48" t="e">
        <f>[1]!LAME4.ABE</f>
        <v>#REF!</v>
      </c>
      <c r="M48" t="e">
        <f>[1]!LAME4.FEC</f>
        <v>#REF!</v>
      </c>
      <c r="O48" t="e">
        <f t="shared" si="1"/>
        <v>#VALUE!</v>
      </c>
    </row>
    <row r="49" spans="1:15" x14ac:dyDescent="0.25">
      <c r="A49" t="s">
        <v>40</v>
      </c>
      <c r="B49" t="e">
        <f>[1]!LIGT3.NOM</f>
        <v>#REF!</v>
      </c>
      <c r="C49" t="e">
        <f>[1]!LIGT3.ULT</f>
        <v>#REF!</v>
      </c>
      <c r="D49" t="e">
        <f>[1]!LIGT3.VAR</f>
        <v>#REF!</v>
      </c>
      <c r="E49" t="e">
        <f>[1]!LIGT3.HOR</f>
        <v>#REF!</v>
      </c>
      <c r="F49" t="e">
        <f>[1]!LIGT3.OCP</f>
        <v>#REF!</v>
      </c>
      <c r="G49" t="e">
        <f>[1]!LIGT3.OVD</f>
        <v>#REF!</v>
      </c>
      <c r="H49" t="e">
        <f>[1]!LIGT3.NEG</f>
        <v>#REF!</v>
      </c>
      <c r="I49" t="e">
        <f>[1]!LIGT3.QTT</f>
        <v>#REF!</v>
      </c>
      <c r="J49" t="e">
        <f>[1]!LIGT3.MIN</f>
        <v>#REF!</v>
      </c>
      <c r="K49" t="e">
        <f>[1]!LIGT3.MAX</f>
        <v>#REF!</v>
      </c>
      <c r="L49" t="e">
        <f>[1]!LIGT3.ABE</f>
        <v>#REF!</v>
      </c>
      <c r="M49" t="e">
        <f>[1]!LIGT3.FEC</f>
        <v>#REF!</v>
      </c>
      <c r="O49" t="e">
        <f t="shared" si="1"/>
        <v>#VALUE!</v>
      </c>
    </row>
    <row r="50" spans="1:15" x14ac:dyDescent="0.25">
      <c r="A50" t="s">
        <v>69</v>
      </c>
      <c r="B50" t="e">
        <f>[1]!LLXL3.NOM</f>
        <v>#REF!</v>
      </c>
      <c r="C50" t="e">
        <f>[1]!LLXL3.ULT</f>
        <v>#REF!</v>
      </c>
      <c r="D50" t="e">
        <f>[1]!LLXL3.VAR</f>
        <v>#REF!</v>
      </c>
      <c r="E50" t="e">
        <f>[1]!LLXL3.HOR</f>
        <v>#REF!</v>
      </c>
      <c r="F50" t="e">
        <f>[1]!LLXL3.OCP</f>
        <v>#REF!</v>
      </c>
      <c r="G50" t="e">
        <f>[1]!LLXL3.OVD</f>
        <v>#REF!</v>
      </c>
      <c r="H50" t="e">
        <f>[1]!LLXL3.NEG</f>
        <v>#REF!</v>
      </c>
      <c r="I50" t="e">
        <f>[1]!LLXL3.QTT</f>
        <v>#REF!</v>
      </c>
      <c r="J50" t="e">
        <f>[1]!LLXL3.MIN</f>
        <v>#REF!</v>
      </c>
      <c r="K50" t="e">
        <f>[1]!LLXL3.MAX</f>
        <v>#REF!</v>
      </c>
      <c r="L50" t="e">
        <f>[1]!LLXL3.ABE</f>
        <v>#REF!</v>
      </c>
      <c r="M50" t="e">
        <f>[1]!LLXL3.FEC</f>
        <v>#REF!</v>
      </c>
      <c r="O50" t="e">
        <f t="shared" si="1"/>
        <v>#VALUE!</v>
      </c>
    </row>
    <row r="51" spans="1:15" x14ac:dyDescent="0.25">
      <c r="A51" t="s">
        <v>43</v>
      </c>
      <c r="B51" t="e">
        <f>[1]!LREN3.NOM</f>
        <v>#REF!</v>
      </c>
      <c r="C51" t="e">
        <f>[1]!LREN3.ULT</f>
        <v>#REF!</v>
      </c>
      <c r="D51" t="e">
        <f>[1]!LREN3.VAR</f>
        <v>#REF!</v>
      </c>
      <c r="E51" t="e">
        <f>[1]!LREN3.HOR</f>
        <v>#REF!</v>
      </c>
      <c r="F51" t="e">
        <f>[1]!LREN3.OCP</f>
        <v>#REF!</v>
      </c>
      <c r="G51" t="e">
        <f>[1]!LREN3.OVD</f>
        <v>#REF!</v>
      </c>
      <c r="H51" t="e">
        <f>[1]!LREN3.NEG</f>
        <v>#REF!</v>
      </c>
      <c r="I51" t="e">
        <f>[1]!LREN3.QTT</f>
        <v>#REF!</v>
      </c>
      <c r="J51" t="e">
        <f>[1]!LREN3.MIN</f>
        <v>#REF!</v>
      </c>
      <c r="K51" t="e">
        <f>[1]!LREN3.MAX</f>
        <v>#REF!</v>
      </c>
      <c r="L51" t="e">
        <f>[1]!LREN3.ABE</f>
        <v>#REF!</v>
      </c>
      <c r="M51" t="e">
        <f>[1]!LREN3.FEC</f>
        <v>#REF!</v>
      </c>
      <c r="O51" t="e">
        <f t="shared" si="1"/>
        <v>#VALUE!</v>
      </c>
    </row>
    <row r="52" spans="1:15" x14ac:dyDescent="0.25">
      <c r="A52" t="s">
        <v>44</v>
      </c>
      <c r="B52" t="e">
        <f>[1]!MRFG3.NOM</f>
        <v>#REF!</v>
      </c>
      <c r="C52" t="e">
        <f>[1]!MRFG3.ULT</f>
        <v>#REF!</v>
      </c>
      <c r="D52" t="e">
        <f>[1]!MRFG3.VAR</f>
        <v>#REF!</v>
      </c>
      <c r="E52" t="e">
        <f>[1]!MRFG3.HOR</f>
        <v>#REF!</v>
      </c>
      <c r="F52" t="e">
        <f>[1]!MRFG3.OCP</f>
        <v>#REF!</v>
      </c>
      <c r="G52" t="e">
        <f>[1]!MRFG3.OVD</f>
        <v>#REF!</v>
      </c>
      <c r="H52" t="e">
        <f>[1]!MRFG3.NEG</f>
        <v>#REF!</v>
      </c>
      <c r="I52" t="e">
        <f>[1]!MRFG3.QTT</f>
        <v>#REF!</v>
      </c>
      <c r="J52" t="e">
        <f>[1]!MRFG3.MIN</f>
        <v>#REF!</v>
      </c>
      <c r="K52" t="e">
        <f>[1]!MRFG3.MAX</f>
        <v>#REF!</v>
      </c>
      <c r="L52" t="e">
        <f>[1]!MRFG3.ABE</f>
        <v>#REF!</v>
      </c>
      <c r="M52" t="e">
        <f>[1]!MRFG3.FEC</f>
        <v>#REF!</v>
      </c>
      <c r="O52" t="e">
        <f t="shared" si="1"/>
        <v>#VALUE!</v>
      </c>
    </row>
    <row r="53" spans="1:15" x14ac:dyDescent="0.25">
      <c r="A53" t="s">
        <v>45</v>
      </c>
      <c r="B53" t="e">
        <f>[1]!MRVE3.NOM</f>
        <v>#REF!</v>
      </c>
      <c r="C53" t="e">
        <f>[1]!MRVE3.ULT</f>
        <v>#REF!</v>
      </c>
      <c r="D53" t="e">
        <f>[1]!MRVE3.VAR</f>
        <v>#REF!</v>
      </c>
      <c r="E53" t="e">
        <f>[1]!MRVE3.HOR</f>
        <v>#REF!</v>
      </c>
      <c r="F53" t="e">
        <f>[1]!MRVE3.OCP</f>
        <v>#REF!</v>
      </c>
      <c r="G53" t="e">
        <f>[1]!MRVE3.OVD</f>
        <v>#REF!</v>
      </c>
      <c r="H53" t="e">
        <f>[1]!MRVE3.NEG</f>
        <v>#REF!</v>
      </c>
      <c r="I53" t="e">
        <f>[1]!MRVE3.QTT</f>
        <v>#REF!</v>
      </c>
      <c r="J53" t="e">
        <f>[1]!MRVE3.MIN</f>
        <v>#REF!</v>
      </c>
      <c r="K53" t="e">
        <f>[1]!MRVE3.MAX</f>
        <v>#REF!</v>
      </c>
      <c r="L53" t="e">
        <f>[1]!MRVE3.ABE</f>
        <v>#REF!</v>
      </c>
      <c r="M53" t="e">
        <f>[1]!MRVE3.FEC</f>
        <v>#REF!</v>
      </c>
      <c r="O53" t="e">
        <f t="shared" si="1"/>
        <v>#VALUE!</v>
      </c>
    </row>
    <row r="54" spans="1:15" x14ac:dyDescent="0.25">
      <c r="A54" t="s">
        <v>46</v>
      </c>
      <c r="B54" t="e">
        <f>[1]!NATU3.NOM</f>
        <v>#REF!</v>
      </c>
      <c r="C54" t="e">
        <f>[1]!NATU3.ULT</f>
        <v>#REF!</v>
      </c>
      <c r="D54" t="e">
        <f>[1]!NATU3.VAR</f>
        <v>#REF!</v>
      </c>
      <c r="E54" t="e">
        <f>[1]!NATU3.HOR</f>
        <v>#REF!</v>
      </c>
      <c r="F54" t="e">
        <f>[1]!NATU3.OCP</f>
        <v>#REF!</v>
      </c>
      <c r="G54" t="e">
        <f>[1]!NATU3.OVD</f>
        <v>#REF!</v>
      </c>
      <c r="H54" t="e">
        <f>[1]!NATU3.NEG</f>
        <v>#REF!</v>
      </c>
      <c r="I54" t="e">
        <f>[1]!NATU3.QTT</f>
        <v>#REF!</v>
      </c>
      <c r="J54" t="e">
        <f>[1]!NATU3.MIN</f>
        <v>#REF!</v>
      </c>
      <c r="K54" t="e">
        <f>[1]!NATU3.MAX</f>
        <v>#REF!</v>
      </c>
      <c r="L54" t="e">
        <f>[1]!NATU3.ABE</f>
        <v>#REF!</v>
      </c>
      <c r="M54" t="e">
        <f>[1]!NATU3.FEC</f>
        <v>#REF!</v>
      </c>
      <c r="O54" t="e">
        <f t="shared" si="1"/>
        <v>#VALUE!</v>
      </c>
    </row>
    <row r="55" spans="1:15" x14ac:dyDescent="0.25">
      <c r="A55" t="s">
        <v>47</v>
      </c>
      <c r="B55" t="e">
        <f>[1]!OIBR4.NOM</f>
        <v>#REF!</v>
      </c>
      <c r="C55" t="e">
        <f>[1]!OIBR4.ULT</f>
        <v>#REF!</v>
      </c>
      <c r="D55" t="e">
        <f>[1]!OIBR4.VAR</f>
        <v>#REF!</v>
      </c>
      <c r="E55" t="e">
        <f>[1]!OIBR4.HOR</f>
        <v>#REF!</v>
      </c>
      <c r="F55" t="e">
        <f>[1]!OIBR4.OCP</f>
        <v>#REF!</v>
      </c>
      <c r="G55" t="e">
        <f>[1]!OIBR4.OVD</f>
        <v>#REF!</v>
      </c>
      <c r="H55" t="e">
        <f>[1]!OIBR4.NEG</f>
        <v>#REF!</v>
      </c>
      <c r="I55" t="e">
        <f>[1]!OIBR4.QTT</f>
        <v>#REF!</v>
      </c>
      <c r="J55" t="e">
        <f>[1]!OIBR4.MIN</f>
        <v>#REF!</v>
      </c>
      <c r="K55" t="e">
        <f>[1]!OIBR4.MAX</f>
        <v>#REF!</v>
      </c>
      <c r="L55" t="e">
        <f>[1]!OIBR4.ABE</f>
        <v>#REF!</v>
      </c>
      <c r="M55" t="e">
        <f>[1]!OIBR4.FEC</f>
        <v>#REF!</v>
      </c>
      <c r="O55" t="e">
        <f t="shared" si="1"/>
        <v>#VALUE!</v>
      </c>
    </row>
    <row r="56" spans="1:15" x14ac:dyDescent="0.25">
      <c r="A56" t="s">
        <v>48</v>
      </c>
      <c r="B56" t="e">
        <f>[1]!PCAR4.NOM</f>
        <v>#REF!</v>
      </c>
      <c r="C56" t="e">
        <f>[1]!PCAR4.ULT</f>
        <v>#REF!</v>
      </c>
      <c r="D56" t="e">
        <f>[1]!PCAR4.VAR</f>
        <v>#REF!</v>
      </c>
      <c r="E56" t="e">
        <f>[1]!PCAR4.HOR</f>
        <v>#REF!</v>
      </c>
      <c r="F56" t="e">
        <f>[1]!PCAR4.OCP</f>
        <v>#REF!</v>
      </c>
      <c r="G56" t="e">
        <f>[1]!PCAR4.OVD</f>
        <v>#REF!</v>
      </c>
      <c r="H56" t="e">
        <f>[1]!PCAR4.NEG</f>
        <v>#REF!</v>
      </c>
      <c r="I56" t="e">
        <f>[1]!PCAR4.QTT</f>
        <v>#REF!</v>
      </c>
      <c r="J56" t="e">
        <f>[1]!PCAR4.MIN</f>
        <v>#REF!</v>
      </c>
      <c r="K56" t="e">
        <f>[1]!PCAR4.MAX</f>
        <v>#REF!</v>
      </c>
      <c r="L56" t="e">
        <f>[1]!PCAR4.ABE</f>
        <v>#REF!</v>
      </c>
      <c r="M56" t="e">
        <f>[1]!PCAR4.FEC</f>
        <v>#REF!</v>
      </c>
      <c r="O56" t="e">
        <f t="shared" si="1"/>
        <v>#VALUE!</v>
      </c>
    </row>
    <row r="57" spans="1:15" x14ac:dyDescent="0.25">
      <c r="A57" t="s">
        <v>49</v>
      </c>
      <c r="B57" t="e">
        <f>[1]!PDGR3.NOM</f>
        <v>#REF!</v>
      </c>
      <c r="C57" t="e">
        <f>[1]!PDGR3.ULT</f>
        <v>#REF!</v>
      </c>
      <c r="D57" t="e">
        <f>[1]!PDGR3.VAR</f>
        <v>#REF!</v>
      </c>
      <c r="E57" t="e">
        <f>[1]!PDGR3.HOR</f>
        <v>#REF!</v>
      </c>
      <c r="F57" t="e">
        <f>[1]!PDGR3.OCP</f>
        <v>#REF!</v>
      </c>
      <c r="G57" t="e">
        <f>[1]!PDGR3.OVD</f>
        <v>#REF!</v>
      </c>
      <c r="H57" t="e">
        <f>[1]!PDGR3.NEG</f>
        <v>#REF!</v>
      </c>
      <c r="I57" t="e">
        <f>[1]!PDGR3.QTT</f>
        <v>#REF!</v>
      </c>
      <c r="J57" t="e">
        <f>[1]!PDGR3.MIN</f>
        <v>#REF!</v>
      </c>
      <c r="K57" t="e">
        <f>[1]!PDGR3.MAX</f>
        <v>#REF!</v>
      </c>
      <c r="L57" t="e">
        <f>[1]!PDGR3.ABE</f>
        <v>#REF!</v>
      </c>
      <c r="M57" t="e">
        <f>[1]!PDGR3.FEC</f>
        <v>#REF!</v>
      </c>
      <c r="O57" t="e">
        <f t="shared" si="1"/>
        <v>#VALUE!</v>
      </c>
    </row>
    <row r="58" spans="1:15" x14ac:dyDescent="0.25">
      <c r="A58" t="s">
        <v>50</v>
      </c>
      <c r="B58" t="e">
        <f>[1]!PETR3.NOM</f>
        <v>#REF!</v>
      </c>
      <c r="C58" t="e">
        <f>[1]!PETR3.ULT</f>
        <v>#REF!</v>
      </c>
      <c r="D58" t="e">
        <f>[1]!PETR3.VAR</f>
        <v>#REF!</v>
      </c>
      <c r="E58" t="e">
        <f>[1]!PETR3.HOR</f>
        <v>#REF!</v>
      </c>
      <c r="F58" t="e">
        <f>[1]!PETR3.OCP</f>
        <v>#REF!</v>
      </c>
      <c r="G58" t="e">
        <f>[1]!PETR3.OVD</f>
        <v>#REF!</v>
      </c>
      <c r="H58" t="e">
        <f>[1]!PETR3.NEG</f>
        <v>#REF!</v>
      </c>
      <c r="I58" t="e">
        <f>[1]!PETR3.QTT</f>
        <v>#REF!</v>
      </c>
      <c r="J58" t="e">
        <f>[1]!PETR3.MIN</f>
        <v>#REF!</v>
      </c>
      <c r="K58" t="e">
        <f>[1]!PETR3.MAX</f>
        <v>#REF!</v>
      </c>
      <c r="L58" t="e">
        <f>[1]!PETR3.ABE</f>
        <v>#REF!</v>
      </c>
      <c r="M58" t="e">
        <f>[1]!PETR3.FEC</f>
        <v>#REF!</v>
      </c>
      <c r="O58" t="e">
        <f t="shared" si="1"/>
        <v>#VALUE!</v>
      </c>
    </row>
    <row r="59" spans="1:15" x14ac:dyDescent="0.25">
      <c r="A59" t="s">
        <v>51</v>
      </c>
      <c r="B59" t="e">
        <f>[1]!PETR4.NOM</f>
        <v>#REF!</v>
      </c>
      <c r="C59" t="e">
        <f>[1]!PETR4.ULT</f>
        <v>#REF!</v>
      </c>
      <c r="D59" t="e">
        <f>[1]!PETR4.VAR</f>
        <v>#REF!</v>
      </c>
      <c r="E59" t="e">
        <f>[1]!PETR4.HOR</f>
        <v>#REF!</v>
      </c>
      <c r="F59" t="e">
        <f>[1]!PETR4.OCP</f>
        <v>#REF!</v>
      </c>
      <c r="G59" t="e">
        <f>[1]!PETR4.OVD</f>
        <v>#REF!</v>
      </c>
      <c r="H59" t="e">
        <f>[1]!PETR4.NEG</f>
        <v>#REF!</v>
      </c>
      <c r="I59" t="e">
        <f>[1]!PETR4.QTT</f>
        <v>#REF!</v>
      </c>
      <c r="J59" t="e">
        <f>[1]!PETR4.MIN</f>
        <v>#REF!</v>
      </c>
      <c r="K59" t="e">
        <f>[1]!PETR4.MAX</f>
        <v>#REF!</v>
      </c>
      <c r="L59" t="e">
        <f>[1]!PETR4.ABE</f>
        <v>#REF!</v>
      </c>
      <c r="M59" t="e">
        <f>[1]!PETR4.FEC</f>
        <v>#REF!</v>
      </c>
      <c r="O59" t="e">
        <f t="shared" si="1"/>
        <v>#VALUE!</v>
      </c>
    </row>
    <row r="60" spans="1:15" x14ac:dyDescent="0.25">
      <c r="A60" t="s">
        <v>52</v>
      </c>
      <c r="B60" t="e">
        <f>[1]!QUAL3.NOM</f>
        <v>#REF!</v>
      </c>
      <c r="C60" t="e">
        <f>[1]!QUAL3.ULT</f>
        <v>#REF!</v>
      </c>
      <c r="D60" t="e">
        <f>[1]!QUAL3.VAR</f>
        <v>#REF!</v>
      </c>
      <c r="E60" t="e">
        <f>[1]!QUAL3.HOR</f>
        <v>#REF!</v>
      </c>
      <c r="F60" t="e">
        <f>[1]!QUAL3.OCP</f>
        <v>#REF!</v>
      </c>
      <c r="G60" t="e">
        <f>[1]!QUAL3.OVD</f>
        <v>#REF!</v>
      </c>
      <c r="H60" t="e">
        <f>[1]!QUAL3.NEG</f>
        <v>#REF!</v>
      </c>
      <c r="I60" t="e">
        <f>[1]!QUAL3.QTT</f>
        <v>#REF!</v>
      </c>
      <c r="J60" t="e">
        <f>[1]!QUAL3.MIN</f>
        <v>#REF!</v>
      </c>
      <c r="K60" t="e">
        <f>[1]!QUAL3.MAX</f>
        <v>#REF!</v>
      </c>
      <c r="L60" t="e">
        <f>[1]!QUAL3.ABE</f>
        <v>#REF!</v>
      </c>
      <c r="M60" t="e">
        <f>[1]!QUAL3.FEC</f>
        <v>#REF!</v>
      </c>
      <c r="O60" t="e">
        <f t="shared" si="1"/>
        <v>#VALUE!</v>
      </c>
    </row>
    <row r="61" spans="1:15" x14ac:dyDescent="0.25">
      <c r="A61" t="s">
        <v>41</v>
      </c>
      <c r="B61" t="e">
        <f>[1]!RENT3.NOM</f>
        <v>#REF!</v>
      </c>
      <c r="C61" t="e">
        <f>[1]!RENT3.ULT</f>
        <v>#REF!</v>
      </c>
      <c r="D61" t="e">
        <f>[1]!RENT3.VAR</f>
        <v>#REF!</v>
      </c>
      <c r="E61" t="e">
        <f>[1]!RENT3.HOR</f>
        <v>#REF!</v>
      </c>
      <c r="F61" t="e">
        <f>[1]!RENT3.OCP</f>
        <v>#REF!</v>
      </c>
      <c r="G61" t="e">
        <f>[1]!RENT3.OVD</f>
        <v>#REF!</v>
      </c>
      <c r="H61" t="e">
        <f>[1]!RENT3.NEG</f>
        <v>#REF!</v>
      </c>
      <c r="I61" t="e">
        <f>[1]!RENT3.QTT</f>
        <v>#REF!</v>
      </c>
      <c r="J61" t="e">
        <f>[1]!RENT3.MIN</f>
        <v>#REF!</v>
      </c>
      <c r="K61" t="e">
        <f>[1]!RENT3.MAX</f>
        <v>#REF!</v>
      </c>
      <c r="L61" t="e">
        <f>[1]!RENT3.ABE</f>
        <v>#REF!</v>
      </c>
      <c r="M61" t="e">
        <f>[1]!RENT3.FEC</f>
        <v>#REF!</v>
      </c>
      <c r="O61" t="e">
        <f t="shared" si="1"/>
        <v>#VALUE!</v>
      </c>
    </row>
    <row r="62" spans="1:15" x14ac:dyDescent="0.25">
      <c r="A62" t="s">
        <v>53</v>
      </c>
      <c r="B62" t="e">
        <f>[1]!RSID3.NOM</f>
        <v>#REF!</v>
      </c>
      <c r="C62" t="e">
        <f>[1]!RSID3.ULT</f>
        <v>#REF!</v>
      </c>
      <c r="D62" t="e">
        <f>[1]!RSID3.VAR</f>
        <v>#REF!</v>
      </c>
      <c r="E62" t="e">
        <f>[1]!RSID3.HOR</f>
        <v>#REF!</v>
      </c>
      <c r="F62" t="e">
        <f>[1]!RSID3.OCP</f>
        <v>#REF!</v>
      </c>
      <c r="G62" t="e">
        <f>[1]!RSID3.OVD</f>
        <v>#REF!</v>
      </c>
      <c r="H62" t="e">
        <f>[1]!RSID3.NEG</f>
        <v>#REF!</v>
      </c>
      <c r="I62" t="e">
        <f>[1]!RSID3.QTT</f>
        <v>#REF!</v>
      </c>
      <c r="J62" t="e">
        <f>[1]!RSID3.MIN</f>
        <v>#REF!</v>
      </c>
      <c r="K62" t="e">
        <f>[1]!RSID3.MAX</f>
        <v>#REF!</v>
      </c>
      <c r="L62" t="e">
        <f>[1]!RSID3.ABE</f>
        <v>#REF!</v>
      </c>
      <c r="M62" t="e">
        <f>[1]!RSID3.FEC</f>
        <v>#REF!</v>
      </c>
      <c r="O62" t="e">
        <f t="shared" si="1"/>
        <v>#VALUE!</v>
      </c>
    </row>
    <row r="63" spans="1:15" x14ac:dyDescent="0.25">
      <c r="A63" t="s">
        <v>55</v>
      </c>
      <c r="B63" t="e">
        <f>[1]!SANB11.NOM</f>
        <v>#REF!</v>
      </c>
      <c r="C63" t="e">
        <f>[1]!SANB11.ULT</f>
        <v>#REF!</v>
      </c>
      <c r="D63" t="e">
        <f>[1]!SANB11.VAR</f>
        <v>#REF!</v>
      </c>
      <c r="E63" t="e">
        <f>[1]!SANB11.HOR</f>
        <v>#REF!</v>
      </c>
      <c r="F63" t="e">
        <f>[1]!SANB11.OCP</f>
        <v>#REF!</v>
      </c>
      <c r="G63" t="e">
        <f>[1]!SANB11.OVD</f>
        <v>#REF!</v>
      </c>
      <c r="H63" t="e">
        <f>[1]!SANB11.NEG</f>
        <v>#REF!</v>
      </c>
      <c r="I63" t="e">
        <f>[1]!SANB11.QTT</f>
        <v>#REF!</v>
      </c>
      <c r="J63" t="e">
        <f>[1]!SANB11.MIN</f>
        <v>#REF!</v>
      </c>
      <c r="K63" t="e">
        <f>[1]!SANB11.MAX</f>
        <v>#REF!</v>
      </c>
      <c r="L63" t="e">
        <f>[1]!SANB11.ABE</f>
        <v>#REF!</v>
      </c>
      <c r="M63" t="e">
        <f>[1]!SANB11.FEC</f>
        <v>#REF!</v>
      </c>
      <c r="O63" t="e">
        <f t="shared" si="1"/>
        <v>#VALUE!</v>
      </c>
    </row>
    <row r="64" spans="1:15" x14ac:dyDescent="0.25">
      <c r="A64" t="s">
        <v>54</v>
      </c>
      <c r="B64" t="e">
        <f>[1]!SBSP3.NOM</f>
        <v>#REF!</v>
      </c>
      <c r="C64" t="e">
        <f>[1]!SBSP3.ULT</f>
        <v>#REF!</v>
      </c>
      <c r="D64" t="e">
        <f>[1]!SBSP3.VAR</f>
        <v>#REF!</v>
      </c>
      <c r="E64" t="e">
        <f>[1]!SBSP3.HOR</f>
        <v>#REF!</v>
      </c>
      <c r="F64" t="e">
        <f>[1]!SBSP3.OCP</f>
        <v>#REF!</v>
      </c>
      <c r="G64" t="e">
        <f>[1]!SBSP3.OVD</f>
        <v>#REF!</v>
      </c>
      <c r="H64" t="e">
        <f>[1]!SBSP3.NEG</f>
        <v>#REF!</v>
      </c>
      <c r="I64" t="e">
        <f>[1]!SBSP3.QTT</f>
        <v>#REF!</v>
      </c>
      <c r="J64" t="e">
        <f>[1]!SBSP3.MIN</f>
        <v>#REF!</v>
      </c>
      <c r="K64" t="e">
        <f>[1]!SBSP3.MAX</f>
        <v>#REF!</v>
      </c>
      <c r="L64" t="e">
        <f>[1]!SBSP3.ABE</f>
        <v>#REF!</v>
      </c>
      <c r="M64" t="e">
        <f>[1]!SBSP3.FEC</f>
        <v>#REF!</v>
      </c>
      <c r="O64" t="e">
        <f t="shared" si="1"/>
        <v>#VALUE!</v>
      </c>
    </row>
    <row r="65" spans="1:15" x14ac:dyDescent="0.25">
      <c r="A65" t="s">
        <v>58</v>
      </c>
      <c r="B65" t="e">
        <f>[1]!SUZB5.NOM</f>
        <v>#REF!</v>
      </c>
      <c r="C65" t="e">
        <f>[1]!SUZB5.ULT</f>
        <v>#REF!</v>
      </c>
      <c r="D65" t="e">
        <f>[1]!SUZB5.VAR</f>
        <v>#REF!</v>
      </c>
      <c r="E65" t="e">
        <f>[1]!SUZB5.HOR</f>
        <v>#REF!</v>
      </c>
      <c r="F65" t="e">
        <f>[1]!SUZB5.OCP</f>
        <v>#REF!</v>
      </c>
      <c r="G65" t="e">
        <f>[1]!SUZB5.OVD</f>
        <v>#REF!</v>
      </c>
      <c r="H65" t="e">
        <f>[1]!SUZB5.NEG</f>
        <v>#REF!</v>
      </c>
      <c r="I65" t="e">
        <f>[1]!SUZB5.QTT</f>
        <v>#REF!</v>
      </c>
      <c r="J65" t="e">
        <f>[1]!SUZB5.MIN</f>
        <v>#REF!</v>
      </c>
      <c r="K65" t="e">
        <f>[1]!SUZB5.MAX</f>
        <v>#REF!</v>
      </c>
      <c r="L65" t="e">
        <f>[1]!SUZB5.ABE</f>
        <v>#REF!</v>
      </c>
      <c r="M65" t="e">
        <f>[1]!SUZB5.FEC</f>
        <v>#REF!</v>
      </c>
      <c r="O65" t="e">
        <f t="shared" si="1"/>
        <v>#VALUE!</v>
      </c>
    </row>
    <row r="66" spans="1:15" x14ac:dyDescent="0.25">
      <c r="A66" t="s">
        <v>61</v>
      </c>
      <c r="B66" t="e">
        <f>[1]!TBLE3.NOM</f>
        <v>#REF!</v>
      </c>
      <c r="C66" t="e">
        <f>[1]!TBLE3.ULT</f>
        <v>#REF!</v>
      </c>
      <c r="D66" t="e">
        <f>[1]!TBLE3.VAR</f>
        <v>#REF!</v>
      </c>
      <c r="E66" t="e">
        <f>[1]!TBLE3.HOR</f>
        <v>#REF!</v>
      </c>
      <c r="F66" t="e">
        <f>[1]!TBLE3.OCP</f>
        <v>#REF!</v>
      </c>
      <c r="G66" t="e">
        <f>[1]!TBLE3.OVD</f>
        <v>#REF!</v>
      </c>
      <c r="H66" t="e">
        <f>[1]!TBLE3.NEG</f>
        <v>#REF!</v>
      </c>
      <c r="I66" t="e">
        <f>[1]!TBLE3.QTT</f>
        <v>#REF!</v>
      </c>
      <c r="J66" t="e">
        <f>[1]!TBLE3.MIN</f>
        <v>#REF!</v>
      </c>
      <c r="K66" t="e">
        <f>[1]!TBLE3.MAX</f>
        <v>#REF!</v>
      </c>
      <c r="L66" t="e">
        <f>[1]!TBLE3.ABE</f>
        <v>#REF!</v>
      </c>
      <c r="M66" t="e">
        <f>[1]!TBLE3.FEC</f>
        <v>#REF!</v>
      </c>
      <c r="O66" t="e">
        <f t="shared" si="1"/>
        <v>#VALUE!</v>
      </c>
    </row>
    <row r="67" spans="1:15" x14ac:dyDescent="0.25">
      <c r="A67" t="s">
        <v>60</v>
      </c>
      <c r="B67" t="e">
        <f>[1]!TIMP3.NOM</f>
        <v>#REF!</v>
      </c>
      <c r="C67" t="e">
        <f>[1]!TIMP3.ULT</f>
        <v>#REF!</v>
      </c>
      <c r="D67" t="e">
        <f>[1]!TIMP3.VAR</f>
        <v>#REF!</v>
      </c>
      <c r="E67" t="e">
        <f>[1]!TIMP3.HOR</f>
        <v>#REF!</v>
      </c>
      <c r="F67" t="e">
        <f>[1]!TIMP3.OCP</f>
        <v>#REF!</v>
      </c>
      <c r="G67" t="e">
        <f>[1]!TIMP3.OVD</f>
        <v>#REF!</v>
      </c>
      <c r="H67" t="e">
        <f>[1]!TIMP3.NEG</f>
        <v>#REF!</v>
      </c>
      <c r="I67" t="e">
        <f>[1]!TIMP3.QTT</f>
        <v>#REF!</v>
      </c>
      <c r="J67" t="e">
        <f>[1]!TIMP3.MIN</f>
        <v>#REF!</v>
      </c>
      <c r="K67" t="e">
        <f>[1]!TIMP3.MAX</f>
        <v>#REF!</v>
      </c>
      <c r="L67" t="e">
        <f>[1]!TIMP3.ABE</f>
        <v>#REF!</v>
      </c>
      <c r="M67" t="e">
        <f>[1]!TIMP3.FEC</f>
        <v>#REF!</v>
      </c>
      <c r="O67" t="e">
        <f t="shared" si="1"/>
        <v>#VALUE!</v>
      </c>
    </row>
    <row r="68" spans="1:15" x14ac:dyDescent="0.25">
      <c r="A68" t="s">
        <v>62</v>
      </c>
      <c r="B68" t="e">
        <f>[1]!UGPA3.NOM</f>
        <v>#REF!</v>
      </c>
      <c r="C68" t="e">
        <f>[1]!UGPA3.ULT</f>
        <v>#REF!</v>
      </c>
      <c r="D68" t="e">
        <f>[1]!UGPA3.VAR</f>
        <v>#REF!</v>
      </c>
      <c r="E68" t="e">
        <f>[1]!UGPA3.HOR</f>
        <v>#REF!</v>
      </c>
      <c r="F68" t="e">
        <f>[1]!UGPA3.OCP</f>
        <v>#REF!</v>
      </c>
      <c r="G68" t="e">
        <f>[1]!UGPA3.OVD</f>
        <v>#REF!</v>
      </c>
      <c r="H68" t="e">
        <f>[1]!UGPA3.NEG</f>
        <v>#REF!</v>
      </c>
      <c r="I68" t="e">
        <f>[1]!UGPA3.QTT</f>
        <v>#REF!</v>
      </c>
      <c r="J68" t="e">
        <f>[1]!UGPA3.MIN</f>
        <v>#REF!</v>
      </c>
      <c r="K68" t="e">
        <f>[1]!UGPA3.MAX</f>
        <v>#REF!</v>
      </c>
      <c r="L68" t="e">
        <f>[1]!UGPA3.ABE</f>
        <v>#REF!</v>
      </c>
      <c r="M68" t="e">
        <f>[1]!UGPA3.FEC</f>
        <v>#REF!</v>
      </c>
      <c r="O68" t="e">
        <f t="shared" si="1"/>
        <v>#VALUE!</v>
      </c>
    </row>
    <row r="69" spans="1:15" x14ac:dyDescent="0.25">
      <c r="A69" t="s">
        <v>63</v>
      </c>
      <c r="B69" t="e">
        <f>[1]!USIM5.NOM</f>
        <v>#REF!</v>
      </c>
      <c r="C69" t="e">
        <f>[1]!USIM5.ULT</f>
        <v>#REF!</v>
      </c>
      <c r="D69" t="e">
        <f>[1]!USIM5.VAR</f>
        <v>#REF!</v>
      </c>
      <c r="E69" t="e">
        <f>[1]!USIM5.HOR</f>
        <v>#REF!</v>
      </c>
      <c r="F69" t="e">
        <f>[1]!USIM5.OCP</f>
        <v>#REF!</v>
      </c>
      <c r="G69" t="e">
        <f>[1]!USIM5.OVD</f>
        <v>#REF!</v>
      </c>
      <c r="H69" t="e">
        <f>[1]!USIM5.NEG</f>
        <v>#REF!</v>
      </c>
      <c r="I69" t="e">
        <f>[1]!USIM5.QTT</f>
        <v>#REF!</v>
      </c>
      <c r="J69" t="e">
        <f>[1]!USIM5.MIN</f>
        <v>#REF!</v>
      </c>
      <c r="K69" t="e">
        <f>[1]!USIM5.MAX</f>
        <v>#REF!</v>
      </c>
      <c r="L69" t="e">
        <f>[1]!USIM5.ABE</f>
        <v>#REF!</v>
      </c>
      <c r="M69" t="e">
        <f>[1]!USIM5.FEC</f>
        <v>#REF!</v>
      </c>
      <c r="O69" t="e">
        <f t="shared" si="1"/>
        <v>#VALUE!</v>
      </c>
    </row>
    <row r="70" spans="1:15" x14ac:dyDescent="0.25">
      <c r="A70" t="s">
        <v>64</v>
      </c>
      <c r="B70" t="e">
        <f>[1]!VALE3.NOM</f>
        <v>#REF!</v>
      </c>
      <c r="C70" t="e">
        <f>[1]!VALE3.ULT</f>
        <v>#REF!</v>
      </c>
      <c r="D70" t="e">
        <f>[1]!VALE3.VAR</f>
        <v>#REF!</v>
      </c>
      <c r="E70" t="e">
        <f>[1]!VALE3.HOR</f>
        <v>#REF!</v>
      </c>
      <c r="F70" t="e">
        <f>[1]!VALE3.OCP</f>
        <v>#REF!</v>
      </c>
      <c r="G70" t="e">
        <f>[1]!VALE3.OVD</f>
        <v>#REF!</v>
      </c>
      <c r="H70" t="e">
        <f>[1]!VALE3.NEG</f>
        <v>#REF!</v>
      </c>
      <c r="I70" t="e">
        <f>[1]!VALE3.QTT</f>
        <v>#REF!</v>
      </c>
      <c r="J70" t="e">
        <f>[1]!VALE3.MIN</f>
        <v>#REF!</v>
      </c>
      <c r="K70" t="e">
        <f>[1]!VALE3.MAX</f>
        <v>#REF!</v>
      </c>
      <c r="L70" t="e">
        <f>[1]!VALE3.ABE</f>
        <v>#REF!</v>
      </c>
      <c r="M70" t="e">
        <f>[1]!VALE3.FEC</f>
        <v>#REF!</v>
      </c>
      <c r="O70" t="e">
        <f t="shared" si="1"/>
        <v>#VALUE!</v>
      </c>
    </row>
    <row r="71" spans="1:15" x14ac:dyDescent="0.25">
      <c r="A71" t="s">
        <v>65</v>
      </c>
      <c r="B71" t="e">
        <f>[1]!VALE5.NOM</f>
        <v>#REF!</v>
      </c>
      <c r="C71" t="e">
        <f>[1]!VALE5.ULT</f>
        <v>#REF!</v>
      </c>
      <c r="D71" t="e">
        <f>[1]!VALE5.VAR</f>
        <v>#REF!</v>
      </c>
      <c r="E71" t="e">
        <f>[1]!VALE5.HOR</f>
        <v>#REF!</v>
      </c>
      <c r="F71" t="e">
        <f>[1]!VALE5.OCP</f>
        <v>#REF!</v>
      </c>
      <c r="G71" t="e">
        <f>[1]!VALE5.OVD</f>
        <v>#REF!</v>
      </c>
      <c r="H71" t="e">
        <f>[1]!VALE5.NEG</f>
        <v>#REF!</v>
      </c>
      <c r="I71" t="e">
        <f>[1]!VALE5.QTT</f>
        <v>#REF!</v>
      </c>
      <c r="J71" t="e">
        <f>[1]!VALE5.MIN</f>
        <v>#REF!</v>
      </c>
      <c r="K71" t="e">
        <f>[1]!VALE5.MAX</f>
        <v>#REF!</v>
      </c>
      <c r="L71" t="e">
        <f>[1]!VALE5.ABE</f>
        <v>#REF!</v>
      </c>
      <c r="M71" t="e">
        <f>[1]!VALE5.FEC</f>
        <v>#REF!</v>
      </c>
      <c r="O71" t="e">
        <f t="shared" si="1"/>
        <v>#VALUE!</v>
      </c>
    </row>
    <row r="72" spans="1:15" x14ac:dyDescent="0.25">
      <c r="A72" t="s">
        <v>59</v>
      </c>
      <c r="B72" t="e">
        <f>[1]!VIVT4.NOM</f>
        <v>#REF!</v>
      </c>
      <c r="C72" t="e">
        <f>[1]!VIVT4.ULT</f>
        <v>#REF!</v>
      </c>
      <c r="D72" t="e">
        <f>[1]!VIVT4.VAR</f>
        <v>#REF!</v>
      </c>
      <c r="E72" t="e">
        <f>[1]!VIVT4.HOR</f>
        <v>#REF!</v>
      </c>
      <c r="F72" t="e">
        <f>[1]!VIVT4.OCP</f>
        <v>#REF!</v>
      </c>
      <c r="G72" t="e">
        <f>[1]!VIVT4.OVD</f>
        <v>#REF!</v>
      </c>
      <c r="H72" t="e">
        <f>[1]!VIVT4.NEG</f>
        <v>#REF!</v>
      </c>
      <c r="I72" t="e">
        <f>[1]!VIVT4.QTT</f>
        <v>#REF!</v>
      </c>
      <c r="J72" t="e">
        <f>[1]!VIVT4.MIN</f>
        <v>#REF!</v>
      </c>
      <c r="K72" t="e">
        <f>[1]!VIVT4.MAX</f>
        <v>#REF!</v>
      </c>
      <c r="L72" t="e">
        <f>[1]!VIVT4.ABE</f>
        <v>#REF!</v>
      </c>
      <c r="M72" t="e">
        <f>[1]!VIVT4.FEC</f>
        <v>#REF!</v>
      </c>
      <c r="O72" t="e">
        <f t="shared" si="1"/>
        <v>#VALUE!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Plan2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Ribeiro Giroto</dc:creator>
  <cp:lastModifiedBy>Shreya</cp:lastModifiedBy>
  <dcterms:created xsi:type="dcterms:W3CDTF">2014-08-31T22:49:27Z</dcterms:created>
  <dcterms:modified xsi:type="dcterms:W3CDTF">2014-10-06T15:11:09Z</dcterms:modified>
</cp:coreProperties>
</file>